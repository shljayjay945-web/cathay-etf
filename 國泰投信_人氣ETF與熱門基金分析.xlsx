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投資視覺看板" sheetId="1" state="visible" r:id="rId1"/>
    <sheet name="名詞解釋與投資指南" sheetId="2" state="visible" r:id="rId2"/>
    <sheet name="歷史配息與填息分析" sheetId="3" state="visible" r:id="rId3"/>
    <sheet name="投資組合與產業配置" sheetId="4" state="visible" r:id="rId4"/>
    <sheet name="綜合績效排行榜" sheetId="5" state="visible" r:id="rId5"/>
    <sheet name="人氣ETF總覽" sheetId="6" state="visible" r:id="rId6"/>
    <sheet name="熱門基金總覽" sheetId="7" state="visible" r:id="rId7"/>
  </sheets>
  <definedNames>
    <definedName name="_xlnm._FilterDatabase" localSheetId="4" hidden="1">'綜合績效排行榜'!$A$1:$N$25</definedName>
    <definedName name="_xlnm._FilterDatabase" localSheetId="5" hidden="1">'人氣ETF總覽'!$A$1:$R$16</definedName>
    <definedName name="_xlnm._FilterDatabase" localSheetId="6" hidden="1">'熱門基金總覽'!$A$1:$R$12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3">
    <font>
      <name val="Calibri"/>
      <family val="2"/>
      <color theme="1"/>
      <sz val="11"/>
      <scheme val="minor"/>
    </font>
    <font>
      <name val="微軟正黑體"/>
      <b val="1"/>
      <color rgb="00FFFFFF"/>
      <sz val="15"/>
    </font>
    <font>
      <name val="微軟正黑體"/>
      <b val="1"/>
      <color rgb="00005A36"/>
      <sz val="11"/>
    </font>
    <font>
      <name val="微軟正黑體"/>
      <b val="1"/>
      <color rgb="00FFFFFF"/>
      <sz val="10"/>
    </font>
    <font>
      <name val="微軟正黑體"/>
      <sz val="9"/>
    </font>
    <font>
      <name val="微軟正黑體"/>
      <b val="1"/>
      <color rgb="00005A36"/>
      <sz val="9"/>
    </font>
    <font>
      <name val="微軟正黑體"/>
      <sz val="10"/>
    </font>
    <font>
      <name val="微軟正黑體"/>
      <b val="1"/>
      <color rgb="00007A3D"/>
      <sz val="10"/>
    </font>
    <font>
      <name val="微軟正黑體"/>
      <b val="1"/>
      <color rgb="00C00000"/>
      <sz val="10"/>
    </font>
    <font>
      <name val="微軟正黑體"/>
      <b val="1"/>
      <color rgb="00FFFFFF"/>
      <sz val="16"/>
    </font>
    <font>
      <name val="微軟正黑體"/>
      <b val="1"/>
      <color rgb="00006633"/>
      <sz val="9"/>
    </font>
    <font>
      <name val="微軟正黑體"/>
      <b val="1"/>
      <color rgb="00111111"/>
      <sz val="10"/>
    </font>
    <font>
      <name val="微軟正黑體"/>
      <b val="1"/>
      <color rgb="00FFFFFF"/>
      <sz val="11"/>
    </font>
  </fonts>
  <fills count="11">
    <fill>
      <patternFill/>
    </fill>
    <fill>
      <patternFill patternType="gray125"/>
    </fill>
    <fill>
      <patternFill patternType="solid">
        <fgColor rgb="00005A36"/>
        <bgColor rgb="00005A36"/>
      </patternFill>
    </fill>
    <fill>
      <patternFill patternType="solid">
        <fgColor rgb="00EAF5EE"/>
        <bgColor rgb="00EAF5EE"/>
      </patternFill>
    </fill>
    <fill>
      <patternFill patternType="solid">
        <fgColor rgb="00008054"/>
        <bgColor rgb="00008054"/>
      </patternFill>
    </fill>
    <fill>
      <patternFill patternType="solid">
        <fgColor rgb="00FFFFFF"/>
      </patternFill>
    </fill>
    <fill>
      <patternFill patternType="solid">
        <fgColor rgb="00F9FCF9"/>
      </patternFill>
    </fill>
    <fill>
      <patternFill patternType="solid">
        <fgColor rgb="00E6F2EA"/>
        <bgColor rgb="00E6F2EA"/>
      </patternFill>
    </fill>
    <fill>
      <patternFill patternType="solid">
        <fgColor rgb="00F0F7F2"/>
        <bgColor rgb="00F0F7F2"/>
      </patternFill>
    </fill>
    <fill>
      <patternFill patternType="solid">
        <fgColor rgb="00F9FCF9"/>
        <bgColor rgb="00F9FCF9"/>
      </patternFill>
    </fill>
    <fill>
      <patternFill patternType="solid">
        <fgColor rgb="00FFFFFF"/>
        <bgColor rgb="00FFFFFF"/>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00B2D8C3"/>
      </left>
      <right style="thin">
        <color rgb="00B2D8C3"/>
      </right>
      <top style="thin">
        <color rgb="00B2D8C3"/>
      </top>
      <bottom style="thin">
        <color rgb="00B2D8C3"/>
      </bottom>
    </border>
  </borders>
  <cellStyleXfs count="1">
    <xf numFmtId="0" fontId="0" fillId="0" borderId="0"/>
  </cellStyleXfs>
  <cellXfs count="57">
    <xf numFmtId="0" fontId="0" fillId="0" borderId="0" pivotButton="0" quotePrefix="0" xfId="0"/>
    <xf numFmtId="0" fontId="9" fillId="2" borderId="0" applyAlignment="1" pivotButton="0" quotePrefix="0" xfId="0">
      <alignment horizontal="center" vertical="center"/>
    </xf>
    <xf numFmtId="0" fontId="10" fillId="7" borderId="2" applyAlignment="1" pivotButton="0" quotePrefix="0" xfId="0">
      <alignment horizontal="center" vertical="center"/>
    </xf>
    <xf numFmtId="0" fontId="11" fillId="8" borderId="2" applyAlignment="1" pivotButton="0" quotePrefix="0" xfId="0">
      <alignment horizontal="center" vertical="center"/>
    </xf>
    <xf numFmtId="0" fontId="2" fillId="3" borderId="0" applyAlignment="1" pivotButton="0" quotePrefix="0" xfId="0">
      <alignment horizontal="left" vertical="center"/>
    </xf>
    <xf numFmtId="0" fontId="3" fillId="4" borderId="2" applyAlignment="1" pivotButton="0" quotePrefix="0" xfId="0">
      <alignment horizontal="center" vertical="center"/>
    </xf>
    <xf numFmtId="0" fontId="6" fillId="6" borderId="2" applyAlignment="1" pivotButton="0" quotePrefix="0" xfId="0">
      <alignment horizontal="center" vertical="center"/>
    </xf>
    <xf numFmtId="0" fontId="6" fillId="6" borderId="2" applyAlignment="1" pivotButton="0" quotePrefix="0" xfId="0">
      <alignment horizontal="left" vertical="center"/>
    </xf>
    <xf numFmtId="10" fontId="8" fillId="6" borderId="2" applyAlignment="1" pivotButton="0" quotePrefix="0" xfId="0">
      <alignment horizontal="right"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10" fontId="7" fillId="5" borderId="2" applyAlignment="1" pivotButton="0" quotePrefix="0" xfId="0">
      <alignment horizontal="right" vertical="center"/>
    </xf>
    <xf numFmtId="10" fontId="8" fillId="5" borderId="2" applyAlignment="1" pivotButton="0" quotePrefix="0" xfId="0">
      <alignment horizontal="right" vertical="center"/>
    </xf>
    <xf numFmtId="10" fontId="7" fillId="6" borderId="2" applyAlignment="1" pivotButton="0" quotePrefix="0" xfId="0">
      <alignment horizontal="right" vertical="center"/>
    </xf>
    <xf numFmtId="0" fontId="1" fillId="2" borderId="0" applyAlignment="1" pivotButton="0" quotePrefix="0" xfId="0">
      <alignment horizontal="center" vertical="center"/>
    </xf>
    <xf numFmtId="0" fontId="3" fillId="4" borderId="1" applyAlignment="1" pivotButton="0" quotePrefix="0" xfId="0">
      <alignment horizontal="center" vertical="center"/>
    </xf>
    <xf numFmtId="0" fontId="5"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6" fillId="5" borderId="1" applyAlignment="1" pivotButton="0" quotePrefix="0" xfId="0">
      <alignment horizontal="center" vertical="center"/>
    </xf>
    <xf numFmtId="0" fontId="6" fillId="5" borderId="1" applyAlignment="1" pivotButton="0" quotePrefix="0" xfId="0">
      <alignment horizontal="left" vertical="center"/>
    </xf>
    <xf numFmtId="4" fontId="6" fillId="5" borderId="1" applyAlignment="1" pivotButton="0" quotePrefix="0" xfId="0">
      <alignment horizontal="right" vertical="center"/>
    </xf>
    <xf numFmtId="10" fontId="7" fillId="5" borderId="1" applyAlignment="1" pivotButton="0" quotePrefix="0" xfId="0">
      <alignment horizontal="right" vertical="center"/>
    </xf>
    <xf numFmtId="164" fontId="6" fillId="5" borderId="1" applyAlignment="1" pivotButton="0" quotePrefix="0" xfId="0">
      <alignment horizontal="right" vertical="center"/>
    </xf>
    <xf numFmtId="10" fontId="6" fillId="5" borderId="1" applyAlignment="1" pivotButton="0" quotePrefix="0" xfId="0">
      <alignment horizontal="right" vertical="center"/>
    </xf>
    <xf numFmtId="0" fontId="6" fillId="6" borderId="1" applyAlignment="1" pivotButton="0" quotePrefix="0" xfId="0">
      <alignment horizontal="center" vertical="center"/>
    </xf>
    <xf numFmtId="0" fontId="6" fillId="6" borderId="1" applyAlignment="1" pivotButton="0" quotePrefix="0" xfId="0">
      <alignment horizontal="left" vertical="center"/>
    </xf>
    <xf numFmtId="4" fontId="6" fillId="6" borderId="1" applyAlignment="1" pivotButton="0" quotePrefix="0" xfId="0">
      <alignment horizontal="right" vertical="center"/>
    </xf>
    <xf numFmtId="10" fontId="7" fillId="6" borderId="1" applyAlignment="1" pivotButton="0" quotePrefix="0" xfId="0">
      <alignment horizontal="right" vertical="center"/>
    </xf>
    <xf numFmtId="164" fontId="6" fillId="6" borderId="1" applyAlignment="1" pivotButton="0" quotePrefix="0" xfId="0">
      <alignment horizontal="right" vertical="center"/>
    </xf>
    <xf numFmtId="10" fontId="6" fillId="6" borderId="1" applyAlignment="1" pivotButton="0" quotePrefix="0" xfId="0">
      <alignment horizontal="right" vertical="center"/>
    </xf>
    <xf numFmtId="165" fontId="6" fillId="6" borderId="1" applyAlignment="1" pivotButton="0" quotePrefix="0" xfId="0">
      <alignment horizontal="right" vertical="center"/>
    </xf>
    <xf numFmtId="0" fontId="8" fillId="6" borderId="1" applyAlignment="1" pivotButton="0" quotePrefix="0" xfId="0">
      <alignment horizontal="center" vertical="center"/>
    </xf>
    <xf numFmtId="3" fontId="6" fillId="6" borderId="1" applyAlignment="1" pivotButton="0" quotePrefix="0" xfId="0">
      <alignment horizontal="right" vertical="center"/>
    </xf>
    <xf numFmtId="165" fontId="6" fillId="5" borderId="1" applyAlignment="1" pivotButton="0" quotePrefix="0" xfId="0">
      <alignment horizontal="right" vertical="center"/>
    </xf>
    <xf numFmtId="0" fontId="7" fillId="5" borderId="1" applyAlignment="1" pivotButton="0" quotePrefix="0" xfId="0">
      <alignment horizontal="center" vertical="center"/>
    </xf>
    <xf numFmtId="3" fontId="6" fillId="5" borderId="1" applyAlignment="1" pivotButton="0" quotePrefix="0" xfId="0">
      <alignment horizontal="right" vertical="center"/>
    </xf>
    <xf numFmtId="0" fontId="7" fillId="6" borderId="1" applyAlignment="1" pivotButton="0" quotePrefix="0" xfId="0">
      <alignment horizontal="center" vertical="center"/>
    </xf>
    <xf numFmtId="0" fontId="8" fillId="5" borderId="1" applyAlignment="1" pivotButton="0" quotePrefix="0" xfId="0">
      <alignment horizontal="center" vertical="center"/>
    </xf>
    <xf numFmtId="0" fontId="12" fillId="4" borderId="1" applyAlignment="1" pivotButton="0" quotePrefix="0" xfId="0">
      <alignment horizontal="center" vertical="center" wrapText="1"/>
    </xf>
    <xf numFmtId="0" fontId="6" fillId="9" borderId="1" applyAlignment="1" pivotButton="0" quotePrefix="0" xfId="0">
      <alignment horizontal="center" vertical="center"/>
    </xf>
    <xf numFmtId="0" fontId="6" fillId="9" borderId="1" applyAlignment="1" pivotButton="0" quotePrefix="0" xfId="0">
      <alignment horizontal="left" vertical="center"/>
    </xf>
    <xf numFmtId="4" fontId="6" fillId="9" borderId="1" applyAlignment="1" pivotButton="0" quotePrefix="0" xfId="0">
      <alignment horizontal="right" vertical="center"/>
    </xf>
    <xf numFmtId="10" fontId="8" fillId="9" borderId="1" applyAlignment="1" pivotButton="0" quotePrefix="0" xfId="0">
      <alignment horizontal="right" vertical="center"/>
    </xf>
    <xf numFmtId="0" fontId="6" fillId="10" borderId="1" applyAlignment="1" pivotButton="0" quotePrefix="0" xfId="0">
      <alignment horizontal="center" vertical="center"/>
    </xf>
    <xf numFmtId="0" fontId="6" fillId="10" borderId="1" applyAlignment="1" pivotButton="0" quotePrefix="0" xfId="0">
      <alignment horizontal="left" vertical="center"/>
    </xf>
    <xf numFmtId="4" fontId="6" fillId="10" borderId="1" applyAlignment="1" pivotButton="0" quotePrefix="0" xfId="0">
      <alignment horizontal="right" vertical="center"/>
    </xf>
    <xf numFmtId="10" fontId="7" fillId="10" borderId="1" applyAlignment="1" pivotButton="0" quotePrefix="0" xfId="0">
      <alignment horizontal="right" vertical="center"/>
    </xf>
    <xf numFmtId="10" fontId="8" fillId="10" borderId="1" applyAlignment="1" pivotButton="0" quotePrefix="0" xfId="0">
      <alignment horizontal="right" vertical="center"/>
    </xf>
    <xf numFmtId="10" fontId="7" fillId="9" borderId="1" applyAlignment="1" pivotButton="0" quotePrefix="0" xfId="0">
      <alignment horizontal="right" vertical="center"/>
    </xf>
    <xf numFmtId="10" fontId="6" fillId="10" borderId="1" applyAlignment="1" pivotButton="0" quotePrefix="0" xfId="0">
      <alignment horizontal="right" vertical="center"/>
    </xf>
    <xf numFmtId="4" fontId="7" fillId="9" borderId="1" applyAlignment="1" pivotButton="0" quotePrefix="0" xfId="0">
      <alignment horizontal="right" vertical="center"/>
    </xf>
    <xf numFmtId="10" fontId="6" fillId="9" borderId="1" applyAlignment="1" pivotButton="0" quotePrefix="0" xfId="0">
      <alignment horizontal="right" vertical="center"/>
    </xf>
    <xf numFmtId="4" fontId="8" fillId="10" borderId="1" applyAlignment="1" pivotButton="0" quotePrefix="0" xfId="0">
      <alignment horizontal="right" vertical="center"/>
    </xf>
    <xf numFmtId="4" fontId="7" fillId="10" borderId="1" applyAlignment="1" pivotButton="0" quotePrefix="0" xfId="0">
      <alignment horizontal="right" vertical="center"/>
    </xf>
    <xf numFmtId="4" fontId="8" fillId="9"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Top 10 人氣標的 1年 vs 3年 報酬率對比</a:t>
            </a:r>
          </a:p>
        </rich>
      </tx>
    </title>
    <plotArea>
      <barChart>
        <barDir val="col"/>
        <grouping val="clustered"/>
        <ser>
          <idx val="0"/>
          <order val="0"/>
          <tx>
            <strRef>
              <f>'投資視覺看板'!F7</f>
            </strRef>
          </tx>
          <spPr>
            <a:ln>
              <a:prstDash val="solid"/>
            </a:ln>
          </spPr>
          <cat>
            <numRef>
              <f>'投資視覺看板'!$C$8:$C$17</f>
            </numRef>
          </cat>
          <val>
            <numRef>
              <f>'投資視覺看板'!$F$8:$F$17</f>
            </numRef>
          </val>
        </ser>
        <ser>
          <idx val="1"/>
          <order val="1"/>
          <tx>
            <strRef>
              <f>'投資視覺看板'!G7</f>
            </strRef>
          </tx>
          <spPr>
            <a:ln>
              <a:prstDash val="solid"/>
            </a:ln>
          </spPr>
          <cat>
            <numRef>
              <f>'投資視覺看板'!$C$8:$C$17</f>
            </numRef>
          </cat>
          <val>
            <numRef>
              <f>'投資視覺看板'!$G$8:$G$17</f>
            </numRef>
          </val>
        </ser>
        <gapWidth val="150"/>
        <axId val="10"/>
        <axId val="100"/>
      </barChart>
      <catAx>
        <axId val="10"/>
        <scaling>
          <orientation val="minMax"/>
        </scaling>
        <axPos val="l"/>
        <title>
          <tx>
            <rich>
              <a:bodyPr/>
              <a:p>
                <a:pPr>
                  <a:defRPr/>
                </a:pPr>
                <a:r>
                  <a:t>標的</a:t>
                </a:r>
              </a:p>
            </rich>
          </tx>
        </title>
        <majorTickMark val="none"/>
        <minorTickMark val="none"/>
        <crossAx val="100"/>
        <lblOffset val="100"/>
      </catAx>
      <valAx>
        <axId val="100"/>
        <scaling>
          <orientation val="minMax"/>
        </scaling>
        <axPos val="l"/>
        <majorGridlines/>
        <title>
          <tx>
            <rich>
              <a:bodyPr/>
              <a:p>
                <a:pPr>
                  <a:defRPr/>
                </a:pPr>
                <a:r>
                  <a:t>報酬率</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熱門標的 最新年化配息率 (%)</a:t>
            </a:r>
          </a:p>
        </rich>
      </tx>
    </title>
    <plotArea>
      <barChart>
        <barDir val="col"/>
        <grouping val="clustered"/>
        <ser>
          <idx val="0"/>
          <order val="0"/>
          <tx>
            <strRef>
              <f>'歷史配息與填息分析'!E4</f>
            </strRef>
          </tx>
          <spPr>
            <a:ln>
              <a:prstDash val="solid"/>
            </a:ln>
          </spPr>
          <cat>
            <numRef>
              <f>'歷史配息與填息分析'!$C$5:$C$21</f>
            </numRef>
          </cat>
          <val>
            <numRef>
              <f>'歷史配息與填息分析'!$E$5:$E$21</f>
            </numRef>
          </val>
        </ser>
        <gapWidth val="150"/>
        <axId val="10"/>
        <axId val="100"/>
      </barChart>
      <catAx>
        <axId val="10"/>
        <scaling>
          <orientation val="minMax"/>
        </scaling>
        <axPos val="l"/>
        <title>
          <tx>
            <rich>
              <a:bodyPr/>
              <a:p>
                <a:pPr>
                  <a:defRPr/>
                </a:pPr>
                <a:r>
                  <a:t>標的</a:t>
                </a:r>
              </a:p>
            </rich>
          </tx>
        </title>
        <majorTickMark val="none"/>
        <minorTickMark val="none"/>
        <crossAx val="100"/>
        <lblOffset val="100"/>
      </catAx>
      <valAx>
        <axId val="100"/>
        <scaling>
          <orientation val="minMax"/>
        </scaling>
        <axPos val="l"/>
        <majorGridlines/>
        <title>
          <tx>
            <rich>
              <a:bodyPr/>
              <a:p>
                <a:pPr>
                  <a:defRPr/>
                </a:pPr>
                <a:r>
                  <a:t>年化配息率</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各熱門標的 產業與核心持股佔比結構 (%)</a:t>
            </a:r>
          </a:p>
        </rich>
      </tx>
    </title>
    <plotArea>
      <barChart>
        <barDir val="col"/>
        <grouping val="stacked"/>
        <ser>
          <idx val="0"/>
          <order val="0"/>
          <tx>
            <strRef>
              <f>'投資組合與產業配置'!D4</f>
            </strRef>
          </tx>
          <spPr>
            <a:ln>
              <a:prstDash val="solid"/>
            </a:ln>
          </spPr>
          <cat>
            <numRef>
              <f>'投資組合與產業配置'!$C$5:$C$28</f>
            </numRef>
          </cat>
          <val>
            <numRef>
              <f>'投資組合與產業配置'!$D$5:$D$28</f>
            </numRef>
          </val>
        </ser>
        <ser>
          <idx val="1"/>
          <order val="1"/>
          <tx>
            <strRef>
              <f>'投資組合與產業配置'!E4</f>
            </strRef>
          </tx>
          <spPr>
            <a:ln>
              <a:prstDash val="solid"/>
            </a:ln>
          </spPr>
          <cat>
            <numRef>
              <f>'投資組合與產業配置'!$C$5:$C$28</f>
            </numRef>
          </cat>
          <val>
            <numRef>
              <f>'投資組合與產業配置'!$E$5:$E$28</f>
            </numRef>
          </val>
        </ser>
        <ser>
          <idx val="2"/>
          <order val="2"/>
          <tx>
            <strRef>
              <f>'投資組合與產業配置'!F4</f>
            </strRef>
          </tx>
          <spPr>
            <a:ln>
              <a:prstDash val="solid"/>
            </a:ln>
          </spPr>
          <cat>
            <numRef>
              <f>'投資組合與產業配置'!$C$5:$C$28</f>
            </numRef>
          </cat>
          <val>
            <numRef>
              <f>'投資組合與產業配置'!$F$5:$F$28</f>
            </numRef>
          </val>
        </ser>
        <ser>
          <idx val="3"/>
          <order val="3"/>
          <tx>
            <strRef>
              <f>'投資組合與產業配置'!G4</f>
            </strRef>
          </tx>
          <spPr>
            <a:ln>
              <a:prstDash val="solid"/>
            </a:ln>
          </spPr>
          <cat>
            <numRef>
              <f>'投資組合與產業配置'!$C$5:$C$28</f>
            </numRef>
          </cat>
          <val>
            <numRef>
              <f>'投資組合與產業配置'!$G$5:$G$28</f>
            </numRef>
          </val>
        </ser>
        <ser>
          <idx val="4"/>
          <order val="4"/>
          <tx>
            <strRef>
              <f>'投資組合與產業配置'!H4</f>
            </strRef>
          </tx>
          <spPr>
            <a:ln>
              <a:prstDash val="solid"/>
            </a:ln>
          </spPr>
          <cat>
            <numRef>
              <f>'投資組合與產業配置'!$C$5:$C$28</f>
            </numRef>
          </cat>
          <val>
            <numRef>
              <f>'投資組合與產業配置'!$H$5:$H$28</f>
            </numRef>
          </val>
        </ser>
        <gapWidth val="150"/>
        <overlap val="100"/>
        <axId val="10"/>
        <axId val="100"/>
      </barChart>
      <catAx>
        <axId val="10"/>
        <scaling>
          <orientation val="minMax"/>
        </scaling>
        <axPos val="l"/>
        <title>
          <tx>
            <rich>
              <a:bodyPr/>
              <a:p>
                <a:pPr>
                  <a:defRPr/>
                </a:pPr>
                <a:r>
                  <a:t>標的</a:t>
                </a:r>
              </a:p>
            </rich>
          </tx>
        </title>
        <majorTickMark val="none"/>
        <minorTickMark val="none"/>
        <crossAx val="100"/>
        <lblOffset val="100"/>
      </catAx>
      <valAx>
        <axId val="100"/>
        <scaling>
          <orientation val="minMax"/>
        </scaling>
        <axPos val="l"/>
        <majorGridlines/>
        <title>
          <tx>
            <rich>
              <a:bodyPr/>
              <a:p>
                <a:pPr>
                  <a:defRPr/>
                </a:pPr>
                <a:r>
                  <a:t>權重佔比</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人氣 ETF 績效對比 (1年 vs 3年)</a:t>
            </a:r>
          </a:p>
        </rich>
      </tx>
    </title>
    <plotArea>
      <barChart>
        <barDir val="col"/>
        <grouping val="clustered"/>
        <ser>
          <idx val="0"/>
          <order val="0"/>
          <tx>
            <strRef>
              <f>'人氣ETF總覽'!L1</f>
            </strRef>
          </tx>
          <spPr>
            <a:ln>
              <a:prstDash val="solid"/>
            </a:ln>
          </spPr>
          <cat>
            <numRef>
              <f>'人氣ETF總覽'!$E$2:$E$10</f>
            </numRef>
          </cat>
          <val>
            <numRef>
              <f>'人氣ETF總覽'!$L$2:$L$10</f>
            </numRef>
          </val>
        </ser>
        <ser>
          <idx val="1"/>
          <order val="1"/>
          <tx>
            <strRef>
              <f>'人氣ETF總覽'!M1</f>
            </strRef>
          </tx>
          <spPr>
            <a:ln>
              <a:prstDash val="solid"/>
            </a:ln>
          </spPr>
          <cat>
            <numRef>
              <f>'人氣ETF總覽'!$E$2:$E$10</f>
            </numRef>
          </cat>
          <val>
            <numRef>
              <f>'人氣ETF總覽'!$M$2:$M$10</f>
            </numRef>
          </val>
        </ser>
        <ser>
          <idx val="2"/>
          <order val="2"/>
          <tx>
            <strRef>
              <f>'人氣ETF總覽'!N1</f>
            </strRef>
          </tx>
          <spPr>
            <a:ln>
              <a:prstDash val="solid"/>
            </a:ln>
          </spPr>
          <cat>
            <numRef>
              <f>'人氣ETF總覽'!$E$2:$E$10</f>
            </numRef>
          </cat>
          <val>
            <numRef>
              <f>'人氣ETF總覽'!$N$2:$N$10</f>
            </numRef>
          </val>
        </ser>
        <gapWidth val="150"/>
        <axId val="10"/>
        <axId val="100"/>
      </barChart>
      <catAx>
        <axId val="10"/>
        <scaling>
          <orientation val="minMax"/>
        </scaling>
        <axPos val="l"/>
        <title>
          <tx>
            <rich>
              <a:bodyPr/>
              <a:p>
                <a:pPr>
                  <a:defRPr/>
                </a:pPr>
                <a:r>
                  <a:t>ETF 標的</a:t>
                </a:r>
              </a:p>
            </rich>
          </tx>
        </title>
        <majorTickMark val="none"/>
        <minorTickMark val="none"/>
        <crossAx val="100"/>
        <lblOffset val="100"/>
      </catAx>
      <valAx>
        <axId val="100"/>
        <scaling>
          <orientation val="minMax"/>
        </scaling>
        <axPos val="l"/>
        <majorGridlines/>
        <title>
          <tx>
            <rich>
              <a:bodyPr/>
              <a:p>
                <a:pPr>
                  <a:defRPr/>
                </a:pPr>
                <a:r>
                  <a:t>報酬率</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1"/>
  <chart>
    <title>
      <tx>
        <rich>
          <a:bodyPr/>
          <a:p>
            <a:pPr>
              <a:defRPr/>
            </a:pPr>
            <a:r>
              <a:t>熱門基金 績效對比 (1年 vs 3年)</a:t>
            </a:r>
          </a:p>
        </rich>
      </tx>
    </title>
    <plotArea>
      <barChart>
        <barDir val="col"/>
        <grouping val="clustered"/>
        <ser>
          <idx val="0"/>
          <order val="0"/>
          <tx>
            <strRef>
              <f>'熱門基金總覽'!L1</f>
            </strRef>
          </tx>
          <spPr>
            <a:ln>
              <a:prstDash val="solid"/>
            </a:ln>
          </spPr>
          <cat>
            <numRef>
              <f>'熱門基金總覽'!$E$2:$E$10</f>
            </numRef>
          </cat>
          <val>
            <numRef>
              <f>'熱門基金總覽'!$L$2:$L$10</f>
            </numRef>
          </val>
        </ser>
        <ser>
          <idx val="1"/>
          <order val="1"/>
          <tx>
            <strRef>
              <f>'熱門基金總覽'!M1</f>
            </strRef>
          </tx>
          <spPr>
            <a:ln>
              <a:prstDash val="solid"/>
            </a:ln>
          </spPr>
          <cat>
            <numRef>
              <f>'熱門基金總覽'!$E$2:$E$10</f>
            </numRef>
          </cat>
          <val>
            <numRef>
              <f>'熱門基金總覽'!$M$2:$M$10</f>
            </numRef>
          </val>
        </ser>
        <ser>
          <idx val="2"/>
          <order val="2"/>
          <tx>
            <strRef>
              <f>'熱門基金總覽'!N1</f>
            </strRef>
          </tx>
          <spPr>
            <a:ln>
              <a:prstDash val="solid"/>
            </a:ln>
          </spPr>
          <cat>
            <numRef>
              <f>'熱門基金總覽'!$E$2:$E$10</f>
            </numRef>
          </cat>
          <val>
            <numRef>
              <f>'熱門基金總覽'!$N$2:$N$10</f>
            </numRef>
          </val>
        </ser>
        <gapWidth val="150"/>
        <axId val="10"/>
        <axId val="100"/>
      </barChart>
      <catAx>
        <axId val="10"/>
        <scaling>
          <orientation val="minMax"/>
        </scaling>
        <axPos val="l"/>
        <title>
          <tx>
            <rich>
              <a:bodyPr/>
              <a:p>
                <a:pPr>
                  <a:defRPr/>
                </a:pPr>
                <a:r>
                  <a:t>基金標的</a:t>
                </a:r>
              </a:p>
            </rich>
          </tx>
        </title>
        <majorTickMark val="none"/>
        <minorTickMark val="none"/>
        <crossAx val="100"/>
        <lblOffset val="100"/>
      </catAx>
      <valAx>
        <axId val="100"/>
        <scaling>
          <orientation val="minMax"/>
        </scaling>
        <axPos val="l"/>
        <majorGridlines/>
        <title>
          <tx>
            <rich>
              <a:bodyPr/>
              <a:p>
                <a:pPr>
                  <a:defRPr/>
                </a:pPr>
                <a:r>
                  <a:t>報酬率</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5</row>
      <rowOff>0</rowOff>
    </from>
    <ext cx="612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2</row>
      <rowOff>0</rowOff>
    </from>
    <ext cx="612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2</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18</col>
      <colOff>0</colOff>
      <row>1</row>
      <rowOff>0</rowOff>
    </from>
    <ext cx="612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18</col>
      <colOff>0</colOff>
      <row>1</row>
      <rowOff>0</rowOff>
    </from>
    <ext cx="612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N17"/>
  <sheetViews>
    <sheetView showGridLines="1" workbookViewId="0">
      <selection activeCell="A1" sqref="A1"/>
    </sheetView>
  </sheetViews>
  <sheetFormatPr baseColWidth="8" defaultRowHeight="15"/>
  <cols>
    <col width="11" customWidth="1" min="1" max="1"/>
    <col width="14" customWidth="1" min="2" max="2"/>
    <col width="26" customWidth="1" min="3" max="3"/>
    <col width="13" customWidth="1" min="4" max="4"/>
    <col width="13" customWidth="1" min="5" max="5"/>
    <col width="13" customWidth="1" min="6" max="6"/>
    <col width="13" customWidth="1" min="7" max="7"/>
    <col width="14" customWidth="1" min="8" max="8"/>
    <col width="4" customWidth="1" min="9" max="9"/>
    <col width="15" customWidth="1" min="10" max="10"/>
    <col width="15" customWidth="1" min="11" max="11"/>
    <col width="15" customWidth="1" min="12" max="12"/>
    <col width="15" customWidth="1" min="13" max="13"/>
    <col width="15" customWidth="1" min="14" max="14"/>
  </cols>
  <sheetData>
    <row r="1" ht="40" customHeight="1">
      <c r="A1" s="1" t="inlineStr">
        <is>
          <t>國泰投信 人氣 ETF 與熱門基金 投資分析總看板</t>
        </is>
      </c>
    </row>
    <row r="3" ht="20" customHeight="1">
      <c r="A3" s="2" t="inlineStr">
        <is>
          <t>【近1年績效冠軍標的】</t>
        </is>
      </c>
      <c r="E3" s="2" t="inlineStr">
        <is>
          <t>【最新年化配息王】</t>
        </is>
      </c>
      <c r="I3" s="2" t="inlineStr">
        <is>
          <t>【高股息填息指標 (00878)】</t>
        </is>
      </c>
      <c r="M3" s="2" t="inlineStr">
        <is>
          <t>【台積電重倉王】</t>
        </is>
      </c>
    </row>
    <row r="4" ht="28" customHeight="1">
      <c r="A4" s="3" t="inlineStr">
        <is>
          <t>國泰臺灣加權正2 (00663L) (近1年績效: +192.24%)</t>
        </is>
      </c>
      <c r="E4" s="3" t="inlineStr">
        <is>
          <t>國泰台灣科技龍頭 (00881) (最新年化配息率: 16.83% | 配 4.6元)</t>
        </is>
      </c>
      <c r="I4" s="3" t="inlineStr">
        <is>
          <t>國泰永續高股息 (00878) (年化 12.04% | 平均 54.2天填息 (成功率: 100%))</t>
        </is>
      </c>
      <c r="M4" s="3" t="inlineStr">
        <is>
          <t>國泰台灣科技龍頭 (00881) (台積電佔比: 39.86% (科技純度: 95.26%))</t>
        </is>
      </c>
    </row>
    <row r="6" ht="24" customHeight="1">
      <c r="A6" s="4" t="inlineStr">
        <is>
          <t>【Top 10 人氣標的中長期績效快速評比表】</t>
        </is>
      </c>
    </row>
    <row r="7" ht="24" customHeight="1">
      <c r="A7" s="5" t="inlineStr">
        <is>
          <t>投資大類</t>
        </is>
      </c>
      <c r="B7" s="5" t="inlineStr">
        <is>
          <t>推薦分類</t>
        </is>
      </c>
      <c r="C7" s="5" t="inlineStr">
        <is>
          <t>簡稱</t>
        </is>
      </c>
      <c r="D7" s="5" t="inlineStr">
        <is>
          <t>近3個月績效</t>
        </is>
      </c>
      <c r="E7" s="5" t="inlineStr">
        <is>
          <t>近6個月績效</t>
        </is>
      </c>
      <c r="F7" s="5" t="inlineStr">
        <is>
          <t>近1年績效</t>
        </is>
      </c>
      <c r="G7" s="5" t="inlineStr">
        <is>
          <t>近3年績效</t>
        </is>
      </c>
      <c r="H7" s="5" t="inlineStr">
        <is>
          <t>成立以來績效</t>
        </is>
      </c>
    </row>
    <row r="8" ht="20" customHeight="1">
      <c r="A8" s="6" t="inlineStr">
        <is>
          <t>ETF</t>
        </is>
      </c>
      <c r="B8" s="6" t="inlineStr">
        <is>
          <t>市值型</t>
        </is>
      </c>
      <c r="C8" s="7" t="inlineStr">
        <is>
          <t>國泰臺灣加權正2</t>
        </is>
      </c>
      <c r="D8" s="8" t="n">
        <v>0.00911528</v>
      </c>
      <c r="E8" s="8" t="n">
        <v>1.04195298</v>
      </c>
      <c r="F8" s="8" t="n">
        <v>1.92236025</v>
      </c>
      <c r="G8" s="8" t="n">
        <v>5.66981689</v>
      </c>
      <c r="H8" s="8" t="n">
        <v>38.522</v>
      </c>
    </row>
    <row r="9" ht="20" customHeight="1">
      <c r="A9" s="9" t="inlineStr">
        <is>
          <t>ETF</t>
        </is>
      </c>
      <c r="B9" s="9" t="inlineStr">
        <is>
          <t>科技</t>
        </is>
      </c>
      <c r="C9" s="10" t="inlineStr">
        <is>
          <t>國泰臺韓科技</t>
        </is>
      </c>
      <c r="D9" s="11" t="n">
        <v>-0.04014465</v>
      </c>
      <c r="E9" s="12" t="n">
        <v>0.7983140400000001</v>
      </c>
      <c r="F9" s="12" t="n">
        <v>1.68222685</v>
      </c>
      <c r="G9" s="12" t="n">
        <v>3.62638379</v>
      </c>
      <c r="H9" s="12" t="n">
        <v>6.70726278</v>
      </c>
    </row>
    <row r="10" ht="20" customHeight="1">
      <c r="A10" s="6" t="inlineStr">
        <is>
          <t>共同基金</t>
        </is>
      </c>
      <c r="B10" s="6" t="inlineStr">
        <is>
          <t>台股</t>
        </is>
      </c>
      <c r="C10" s="7" t="inlineStr">
        <is>
          <t>國泰小龍基金(新台幣)</t>
        </is>
      </c>
      <c r="D10" s="8" t="n">
        <v>0.00866128</v>
      </c>
      <c r="E10" s="8" t="n">
        <v>0.52047154</v>
      </c>
      <c r="F10" s="8" t="n">
        <v>1.3455221</v>
      </c>
      <c r="G10" s="8" t="n">
        <v>3.0771584</v>
      </c>
      <c r="H10" s="8" t="n">
        <v>10.995</v>
      </c>
    </row>
    <row r="11" ht="20" customHeight="1">
      <c r="A11" s="9" t="inlineStr">
        <is>
          <t>共同基金</t>
        </is>
      </c>
      <c r="B11" s="9" t="inlineStr">
        <is>
          <t>台股</t>
        </is>
      </c>
      <c r="C11" s="10" t="inlineStr">
        <is>
          <t>國泰台灣高股息基金(新台幣)-A</t>
        </is>
      </c>
      <c r="D11" s="12" t="n">
        <v>0.06664248</v>
      </c>
      <c r="E11" s="12" t="n">
        <v>0.66020331</v>
      </c>
      <c r="F11" s="12" t="n">
        <v>1.28294072</v>
      </c>
      <c r="G11" s="12" t="n">
        <v>2.93705357</v>
      </c>
      <c r="H11" s="12" t="n">
        <v>7.819</v>
      </c>
    </row>
    <row r="12" ht="20" customHeight="1">
      <c r="A12" s="6" t="inlineStr">
        <is>
          <t>共同基金</t>
        </is>
      </c>
      <c r="B12" s="6" t="inlineStr">
        <is>
          <t>配息</t>
        </is>
      </c>
      <c r="C12" s="7" t="inlineStr">
        <is>
          <t>國泰台灣高股息基金(新台幣)-B</t>
        </is>
      </c>
      <c r="D12" s="8" t="n">
        <v>0.06641135000000001</v>
      </c>
      <c r="E12" s="8" t="n">
        <v>0.6600313</v>
      </c>
      <c r="F12" s="8" t="n">
        <v>1.28280289</v>
      </c>
      <c r="G12" s="8" t="n">
        <v>2.9377786</v>
      </c>
      <c r="H12" s="8" t="n">
        <v>7.81796963</v>
      </c>
    </row>
    <row r="13" ht="20" customHeight="1">
      <c r="A13" s="9" t="inlineStr">
        <is>
          <t>共同基金</t>
        </is>
      </c>
      <c r="B13" s="9" t="inlineStr">
        <is>
          <t>台股</t>
        </is>
      </c>
      <c r="C13" s="10" t="inlineStr">
        <is>
          <t>國泰中小成長基金(新台幣)-A</t>
        </is>
      </c>
      <c r="D13" s="12" t="n">
        <v>0.04333726</v>
      </c>
      <c r="E13" s="12" t="n">
        <v>0.49526787</v>
      </c>
      <c r="F13" s="12" t="n">
        <v>1.15634901</v>
      </c>
      <c r="G13" s="12" t="n">
        <v>2.48773036</v>
      </c>
      <c r="H13" s="12" t="n">
        <v>34.39</v>
      </c>
    </row>
    <row r="14" ht="20" customHeight="1">
      <c r="A14" s="6" t="inlineStr">
        <is>
          <t>ETF</t>
        </is>
      </c>
      <c r="B14" s="6" t="inlineStr">
        <is>
          <t>市值型</t>
        </is>
      </c>
      <c r="C14" s="7" t="inlineStr">
        <is>
          <t>國泰台灣科技龍頭</t>
        </is>
      </c>
      <c r="D14" s="8" t="n">
        <v>0.04219119</v>
      </c>
      <c r="E14" s="8" t="n">
        <v>0.62581825</v>
      </c>
      <c r="F14" s="8" t="n">
        <v>1.12902972</v>
      </c>
      <c r="G14" s="8" t="n">
        <v>3.20123681</v>
      </c>
      <c r="H14" s="8" t="n">
        <v>4.34650566</v>
      </c>
    </row>
    <row r="15" ht="20" customHeight="1">
      <c r="A15" s="9" t="inlineStr">
        <is>
          <t>ETF</t>
        </is>
      </c>
      <c r="B15" s="9" t="inlineStr">
        <is>
          <t>科技</t>
        </is>
      </c>
      <c r="C15" s="10" t="inlineStr">
        <is>
          <t>國泰費城半導體</t>
        </is>
      </c>
      <c r="D15" s="11" t="n">
        <v>-0.11655405</v>
      </c>
      <c r="E15" s="12" t="n">
        <v>0.6510677800000001</v>
      </c>
      <c r="F15" s="12" t="n">
        <v>1.06391727</v>
      </c>
      <c r="G15" s="12" t="n">
        <v>2.63998178</v>
      </c>
      <c r="H15" s="12" t="n">
        <v>7.700014159999999</v>
      </c>
    </row>
    <row r="16" ht="20" customHeight="1">
      <c r="A16" s="6" t="inlineStr">
        <is>
          <t>共同基金</t>
        </is>
      </c>
      <c r="B16" s="6" t="inlineStr">
        <is>
          <t>台股</t>
        </is>
      </c>
      <c r="C16" s="7" t="inlineStr">
        <is>
          <t>國泰國泰基金(新台幣)-A</t>
        </is>
      </c>
      <c r="D16" s="13" t="n">
        <v>-0.04380673</v>
      </c>
      <c r="E16" s="8" t="n">
        <v>0.43398899</v>
      </c>
      <c r="F16" s="8" t="n">
        <v>1.0545598</v>
      </c>
      <c r="G16" s="8" t="n">
        <v>2.54315708</v>
      </c>
      <c r="H16" s="8" t="n">
        <v>17.226</v>
      </c>
    </row>
    <row r="17" ht="20" customHeight="1">
      <c r="A17" s="9" t="inlineStr">
        <is>
          <t>ETF</t>
        </is>
      </c>
      <c r="B17" s="9" t="inlineStr">
        <is>
          <t>市值型</t>
        </is>
      </c>
      <c r="C17" s="10" t="inlineStr">
        <is>
          <t>國泰台灣領袖50</t>
        </is>
      </c>
      <c r="D17" s="12" t="n">
        <v>0.05804878</v>
      </c>
      <c r="E17" s="12" t="n">
        <v>0.6277673500000001</v>
      </c>
      <c r="F17" s="12" t="n">
        <v>1.00214522</v>
      </c>
      <c r="G17" s="12" t="n">
        <v>2.50539708</v>
      </c>
      <c r="H17" s="12" t="n">
        <v>2.71104704</v>
      </c>
    </row>
  </sheetData>
  <mergeCells count="10">
    <mergeCell ref="E4:G4"/>
    <mergeCell ref="A3:C3"/>
    <mergeCell ref="E3:G3"/>
    <mergeCell ref="I4:K4"/>
    <mergeCell ref="I3:K3"/>
    <mergeCell ref="A4:C4"/>
    <mergeCell ref="M3:N3"/>
    <mergeCell ref="M4:N4"/>
    <mergeCell ref="A6:H6"/>
    <mergeCell ref="A1:N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2"/>
  <sheetViews>
    <sheetView showGridLines="1" workbookViewId="0">
      <selection activeCell="A1" sqref="A1"/>
    </sheetView>
  </sheetViews>
  <sheetFormatPr baseColWidth="8" defaultRowHeight="15"/>
  <cols>
    <col width="18" customWidth="1" min="1" max="1"/>
    <col width="24" customWidth="1" min="2" max="2"/>
    <col width="38" customWidth="1" min="3" max="3"/>
    <col width="42" customWidth="1" min="4" max="4"/>
    <col width="44" customWidth="1" min="5" max="5"/>
  </cols>
  <sheetData>
    <row r="1" ht="36" customHeight="1">
      <c r="A1" s="14" t="inlineStr">
        <is>
          <t>國泰投信 投資核心名詞指南與策略寶典 (收益平準金、填息、市值型、月配型)</t>
        </is>
      </c>
    </row>
    <row r="3" ht="24" customHeight="1">
      <c r="A3" s="4" t="inlineStr">
        <is>
          <t>【單元一：關鍵名詞深度解析（收益平準金、填息天數、股利所得稅務）】</t>
        </is>
      </c>
    </row>
    <row r="4" ht="26" customHeight="1">
      <c r="A4" s="15" t="inlineStr">
        <is>
          <t>名詞術語</t>
        </is>
      </c>
      <c r="B4" s="15" t="inlineStr">
        <is>
          <t>英文 / 代稱</t>
        </is>
      </c>
      <c r="C4" s="15" t="inlineStr">
        <is>
          <t>核心定義與白話解說</t>
        </is>
      </c>
      <c r="D4" s="15" t="inlineStr">
        <is>
          <t>運作範例與機制</t>
        </is>
      </c>
      <c r="E4" s="15" t="inlineStr">
        <is>
          <t>投資人必懂迷思與注意事項</t>
        </is>
      </c>
    </row>
    <row r="5" ht="54" customHeight="1">
      <c r="A5" s="16" t="inlineStr">
        <is>
          <t>收益平準金</t>
        </is>
      </c>
      <c r="B5" s="16" t="inlineStr">
        <is>
          <t>Equalization Reserve</t>
        </is>
      </c>
      <c r="C5" s="17" t="inlineStr">
        <is>
          <t>將新申購投資人所帶入的部分本金提撥為準備金，在除息時依比例發還，防止舊投資人的每期配息率被大量新買盤稀釋。</t>
        </is>
      </c>
      <c r="D5" s="17" t="inlineStr">
        <is>
          <t>若某高股息 ETF 原有 100 億資金、收到 10 億股利 (配息率 10%)。若除息前夕湧入 100 億新申購，總規模變 200 億。若無平準金，每人只能分到 5% (被稀釋)；有了平準金，新申購資金自提 10 億進入平準金池，所有人仍領 10%！</t>
        </is>
      </c>
      <c r="E5" s="17" t="inlineStr">
        <is>
          <t>【常見迷思破解】「平準金是拿自己的本金配給自己？」真相：平準金僅是「防稀釋會計機制」，不增減總資產；但平準金發放屬資本返還，免繳綜合所得稅與二代健保補充保費！</t>
        </is>
      </c>
    </row>
    <row r="6" ht="54" customHeight="1">
      <c r="A6" s="18" t="inlineStr">
        <is>
          <t>填息天數與貼息</t>
        </is>
      </c>
      <c r="B6" s="18" t="inlineStr">
        <is>
          <t>Fill Days / Discount</t>
        </is>
      </c>
      <c r="C6" s="19" t="inlineStr">
        <is>
          <t>ETF 或基金除息後，其市價/淨值重新漲回「除息前最後一個交易日之基準價」所需的實際交易日數。</t>
        </is>
      </c>
      <c r="D6" s="19" t="inlineStr">
        <is>
          <t>以 00878 為例：除息前一天價格 33.75 元，除息 1.01 元後開盤參考價為 32.74 元。在第 11 個交易日股價重新回到 33.75 元以上，即判定「耗時 11 個交易日完成填息」。</t>
        </is>
      </c>
      <c r="E6" s="19" t="inlineStr">
        <is>
          <t>【關鍵觀念】「能填息的配息才是真獲利！」若除息後股價一路跌破且未回補（貼息），所領到的配息本質上只是將帳面資產轉為現金，並未實現實質超額回報。</t>
        </is>
      </c>
    </row>
    <row r="7" ht="54" customHeight="1">
      <c r="A7" s="16" t="inlineStr">
        <is>
          <t>股利所得 (54C)</t>
        </is>
      </c>
      <c r="B7" s="16" t="inlineStr">
        <is>
          <t>Dividend Income 54C</t>
        </is>
      </c>
      <c r="C7" s="17" t="inlineStr">
        <is>
          <t>配息來源中來自國內上市櫃成分股發放的現金股利所得，為最主要的法定應稅項目。</t>
        </is>
      </c>
      <c r="D7" s="17" t="inlineStr">
        <is>
          <t>每期收益分配通知書會載明各項佔比。例如本次配息 1 元，若 54C 佔比 80%，代表每張股票有 800 元計入 54C 股利所得，其餘 200 元為資本利得或平準金。</t>
        </is>
      </c>
      <c r="E7" s="17" t="inlineStr">
        <is>
          <t>【稅務與健保門檻】單筆 54C 金額達新台幣 20,000 元以上時，券商/投信須強制代扣 2.11% 二代健保補充保費；年終申報綜所稅可選擇 8.5% 抵減稅額 (上限 8 萬) 或 28% 分開計稅。</t>
        </is>
      </c>
    </row>
    <row r="8" ht="54" customHeight="1">
      <c r="A8" s="18" t="inlineStr">
        <is>
          <t>年化配息率 vs 含息總報酬</t>
        </is>
      </c>
      <c r="B8" s="18" t="inlineStr">
        <is>
          <t>Annualized Yield vs Total Return</t>
        </is>
      </c>
      <c r="C8" s="19" t="inlineStr">
        <is>
          <t>年化配息率為當期換算年率之「配息流量」指標；含息總報酬則是「資本利得 (價差) + 累積已領股息」的真實總財富增長率。</t>
        </is>
      </c>
      <c r="D8" s="19" t="inlineStr">
        <is>
          <t>年化配息率 = (單期配息金額 / 除息前基準價) × 全年配息次數。若一檔標的年化配息 15%，但全年股價下跌 20%，含息總報酬實質為 -5% (虧損)。</t>
        </is>
      </c>
      <c r="E8" s="19" t="inlineStr">
        <is>
          <t>【選股警語】切莫盲目追求「超高年化配息率」！長期投資應優先檢視「含息總報酬率」與「填息成功率」，避免賺了股息卻賠了巨額本金價差。</t>
        </is>
      </c>
    </row>
    <row r="9" ht="54" customHeight="1">
      <c r="A9" s="16" t="inlineStr">
        <is>
          <t>主動式基金 vs 被動式 ETF</t>
        </is>
      </c>
      <c r="B9" s="16" t="inlineStr">
        <is>
          <t>Active Fund vs Passive ETF</t>
        </is>
      </c>
      <c r="C9" s="17" t="inlineStr">
        <is>
          <t>被動 ETF 嚴格複製與追蹤指數成分（規則透明、經理費低）；主動式基金由專業經理人選股操盤（力求擊敗大盤取得 Alpha 超額報酬）。</t>
        </is>
      </c>
      <c r="D9" s="17" t="inlineStr">
        <is>
          <t>例如 00922 追蹤領袖 50 指數；國泰小龍基金、國泰台灣高股息基金則由專業研究團隊動態調倉，力求掌握盤面轉折點與中小型飆股動能。</t>
        </is>
      </c>
      <c r="E9" s="17" t="inlineStr">
        <is>
          <t>【投資搭配】可採「核心配置被動 ETF (大盤成長/穩健收息) + 衛星配置主動基金 (爆發動能)」之攻守兼備架構。</t>
        </is>
      </c>
    </row>
    <row r="11" ht="24" customHeight="1">
      <c r="A11" s="4" t="inlineStr">
        <is>
          <t>【單元二：四大基金 / ETF 類型選品指南（市值型、高股息型、產業主題型、債券固定收益型）】</t>
        </is>
      </c>
    </row>
    <row r="12" ht="26" customHeight="1">
      <c r="A12" s="15" t="inlineStr">
        <is>
          <t>投資類型</t>
        </is>
      </c>
      <c r="B12" s="15" t="inlineStr">
        <is>
          <t>國泰代表標的</t>
        </is>
      </c>
      <c r="C12" s="15" t="inlineStr">
        <is>
          <t>核心投資哲學與特性</t>
        </is>
      </c>
      <c r="D12" s="15" t="inlineStr">
        <is>
          <t>台積電與產業配置特徵</t>
        </is>
      </c>
      <c r="E12" s="15" t="inlineStr">
        <is>
          <t>適合投資族群與配置建議</t>
        </is>
      </c>
    </row>
    <row r="13" ht="54" customHeight="1">
      <c r="A13" s="16" t="inlineStr">
        <is>
          <t>市值型 ETF / 基金</t>
        </is>
      </c>
      <c r="B13" s="16" t="inlineStr">
        <is>
          <t>國泰台灣領袖50 (00922)
國泰台灣加權正2 (00663L)</t>
        </is>
      </c>
      <c r="C13" s="17" t="inlineStr">
        <is>
          <t>以市場總市值為核心權重，緊跟台股大盤龍頭與經濟成長紅利。追求資本利得最大化與長期資產翻倍，配息通常適中 (約 3%~5%)。</t>
        </is>
      </c>
      <c r="D13" s="17" t="inlineStr">
        <is>
          <t>【台積電重倉】台積電佔比通常落在 30% ~ 45% 以上，科技電子佔比高達 70%~80%，對大盤指數走勢有最高敏感度。</t>
        </is>
      </c>
      <c r="E13" s="17" t="inlineStr">
        <is>
          <t>適合小資族、追求長期複利累積資產、年輕族群定期定額。可作為投資組合的核心底層資產。</t>
        </is>
      </c>
    </row>
    <row r="14" ht="54" customHeight="1">
      <c r="A14" s="18" t="inlineStr">
        <is>
          <t>高股息型 ETF / 基金</t>
        </is>
      </c>
      <c r="B14" s="18" t="inlineStr">
        <is>
          <t>國泰永續高股息 (00878)
主動國泰動能高息 (00400A)
國泰台灣高股息基金-B</t>
        </is>
      </c>
      <c r="C14" s="19" t="inlineStr">
        <is>
          <t>以現金殖利率高、營運穩健且波動低為篩選條件。重視穩定每季或每月現金流分配，歷史年化配息率約 7% ~ 12%。</t>
        </is>
      </c>
      <c r="D14" s="19" t="inlineStr">
        <is>
          <t>【防禦均衡】台積電佔比通常為 0% 或極低，資金廣泛分散於電子代工龍頭、金融保險 (30%+) 與高息傳產，下檔防禦力強。</t>
        </is>
      </c>
      <c r="E14" s="19" t="inlineStr">
        <is>
          <t>適合退休族、房貸族、需要固定被動收入補貼生活開銷者。填息紀錄優良者 (如 00878) 為領息首選。</t>
        </is>
      </c>
    </row>
    <row r="15" ht="54" customHeight="1">
      <c r="A15" s="16" t="inlineStr">
        <is>
          <t>產業主題型 ETF / 基金</t>
        </is>
      </c>
      <c r="B15" s="16" t="inlineStr">
        <is>
          <t>國泰台灣科技龍頭 (00881)
國泰費城半導體 (00830)
國泰北美科技 (00770)</t>
        </is>
      </c>
      <c r="C15" s="17" t="inlineStr">
        <is>
          <t>聚焦全球最具爆發力的科技趨勢（AI、半導體晶圓、雲端軟體）。進攻動能最強，多頭波段爆發力超越大盤，但回檔波動度也較大。</t>
        </is>
      </c>
      <c r="D15" s="17" t="inlineStr">
        <is>
          <t>【科技純度 90%+】高度集中於輝達、台積電、微軟、博通等全球科技霸主，無金融與傳產防禦部位。</t>
        </is>
      </c>
      <c r="E15" s="17" t="inlineStr">
        <is>
          <t>適合風險承受度高、看好特定產業 3~5 年大趨勢的積極型投資人。適合作為衛星衝刺部位。</t>
        </is>
      </c>
    </row>
    <row r="16" ht="54" customHeight="1">
      <c r="A16" s="18" t="inlineStr">
        <is>
          <t>債券固定收益型 ETF / 基金</t>
        </is>
      </c>
      <c r="B16" s="18" t="inlineStr">
        <is>
          <t>國泰10Y+金融債 (00933B)
國泰投資級公司債 (00725B)
國泰美國優質債券基金</t>
        </is>
      </c>
      <c r="C16" s="19" t="inlineStr">
        <is>
          <t>持有全球頂級金融業或跨國大型企業發行之高評等美元債券。享有穩定票息收入，且在央行降息循環中具備資本利得空間。</t>
        </is>
      </c>
      <c r="D16" s="19" t="inlineStr">
        <is>
          <t>【股票 0%、債券 100%】與台股相關性極低，能在股市大幅震盪或經濟衰退時發揮最強避風港效果。</t>
        </is>
      </c>
      <c r="E16" s="19" t="inlineStr">
        <is>
          <t>適合追求股債平衡、保守防守型資金、或想鎖定 5%~6% 穩定高票息之長線資產配置者。</t>
        </is>
      </c>
    </row>
    <row r="18" ht="24" customHeight="1">
      <c r="A18" s="4" t="inlineStr">
        <is>
          <t>【單元三：配息頻率策略深度比較（月配型 vs 季配型 vs 年配型）】</t>
        </is>
      </c>
    </row>
    <row r="19" ht="26" customHeight="1">
      <c r="A19" s="15" t="inlineStr">
        <is>
          <t>配息頻率</t>
        </is>
      </c>
      <c r="B19" s="15" t="inlineStr">
        <is>
          <t>代表性標的</t>
        </is>
      </c>
      <c r="C19" s="15" t="inlineStr">
        <is>
          <t>現金流規劃優勢</t>
        </is>
      </c>
      <c r="D19" s="15" t="inlineStr">
        <is>
          <t>二代健保補充保費 (2.11%) 避稅效益</t>
        </is>
      </c>
      <c r="E19" s="15" t="inlineStr">
        <is>
          <t>除息缺口與填息難度</t>
        </is>
      </c>
    </row>
    <row r="20" ht="54" customHeight="1">
      <c r="A20" s="18" t="inlineStr">
        <is>
          <t>月配型 (Monthly)</t>
        </is>
      </c>
      <c r="B20" s="18" t="inlineStr">
        <is>
          <t>00933B (金融債)
00400A (動能高息)
國泰台灣高股息-B</t>
        </is>
      </c>
      <c r="C20" s="19" t="inlineStr">
        <is>
          <t>每月固定發放現金流，最符合日常生活開銷（房租、水電、生活費），無需自行安排提領節奏，心理踏實感最高。</t>
        </is>
      </c>
      <c r="D20" s="19" t="inlineStr">
        <is>
          <t>【避稅效果最強】單次配息被拆分為 12 等分，以年配 12 萬為例，月配每次僅 1 萬元，遠低於 2 萬元門檻，可合法免繳 2.11% 補充保費！</t>
        </is>
      </c>
      <c r="E20" s="19" t="inlineStr">
        <is>
          <t>單次除息缺口極小 (約 0.4%~0.7%)，極易在 1 ~ 10 個交易日內迅速完成填息，貼息風險最低。</t>
        </is>
      </c>
    </row>
    <row r="21" ht="54" customHeight="1">
      <c r="A21" s="16" t="inlineStr">
        <is>
          <t>季配型 (Quarterly)</t>
        </is>
      </c>
      <c r="B21" s="16" t="inlineStr">
        <is>
          <t>00878 (永續高股息)
00725B (公司債)</t>
        </is>
      </c>
      <c r="C21" s="17" t="inlineStr">
        <is>
          <t>每季發放一次，節奏穩健，非常適合上班族作為每季獎金或再投入複利的基準頻率。</t>
        </is>
      </c>
      <c r="D21" s="17" t="inlineStr">
        <is>
          <t>持股張數較多的大額投資人（如持有 00878 超過 20~30 張者），單期股利所得較易突破 2 萬元，建議透過眷屬分單或留意免稅項目。</t>
        </is>
      </c>
      <c r="E21" s="17" t="inlineStr">
        <is>
          <t>單次除息缺口中等 (約 1.5%~3%)，通常在 1 ~ 2 個月內隨企業營運表現完成填息。</t>
        </is>
      </c>
    </row>
    <row r="22" ht="54" customHeight="1">
      <c r="A22" s="18" t="inlineStr">
        <is>
          <t>半年配 / 年配型</t>
        </is>
      </c>
      <c r="B22" s="18" t="inlineStr">
        <is>
          <t>00881 (科技龍頭)
00922 (領袖50)
00830 (費城半導體)</t>
        </is>
      </c>
      <c r="C22" s="19" t="inlineStr">
        <is>
          <t>集中於年中或年底一次性發放大額現金，具有「年終獎金入袋」的充實感，適合大額資金整筆再配置。</t>
        </is>
      </c>
      <c r="D22" s="19" t="inlineStr">
        <is>
          <t>因單次配息金額龐大，單筆 54C 極容易超過 20,000 元門檻而被扣繳二代健保補充保費。</t>
        </is>
      </c>
      <c r="E22" s="19" t="inlineStr">
        <is>
          <t>單次除息缺口較大 (可達 5%~14%)，需要市場中長波段的大多頭行情方能完成填息，回補天數通常需數十至百日。</t>
        </is>
      </c>
    </row>
  </sheetData>
  <mergeCells count="4">
    <mergeCell ref="A11:E11"/>
    <mergeCell ref="A1:E1"/>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4"/>
  <sheetViews>
    <sheetView showGridLines="1" workbookViewId="0">
      <selection activeCell="A1" sqref="A1"/>
    </sheetView>
  </sheetViews>
  <sheetFormatPr baseColWidth="8" defaultRowHeight="15"/>
  <cols>
    <col width="11" customWidth="1" min="1" max="1"/>
    <col width="11" customWidth="1" min="2" max="2"/>
    <col width="26" customWidth="1" min="3" max="3"/>
    <col width="16" customWidth="1" min="4" max="4"/>
    <col width="15" customWidth="1" min="5" max="5"/>
    <col width="16" customWidth="1" min="6" max="6"/>
    <col width="15" customWidth="1" min="7" max="7"/>
    <col width="15" customWidth="1" min="8" max="8"/>
    <col width="15" customWidth="1" min="9" max="9"/>
    <col width="16" customWidth="1" min="10" max="10"/>
    <col width="12" customWidth="1" min="11" max="11"/>
    <col width="24" customWidth="1" min="12" max="12"/>
    <col width="15" customWidth="1" min="13" max="13"/>
    <col width="15" customWidth="1" min="14" max="14"/>
  </cols>
  <sheetData>
    <row r="1" ht="36" customHeight="1">
      <c r="A1" s="14" t="inlineStr">
        <is>
          <t>國泰投信 熱門標的「歷史配息金額、年化殖利率與填息天數」深度分析看板</t>
        </is>
      </c>
    </row>
    <row r="3" ht="24" customHeight="1">
      <c r="A3" s="4" t="inlineStr">
        <is>
          <t>【熱門標的 最新配息、年化殖利率與填息能力總評】</t>
        </is>
      </c>
    </row>
    <row r="4" ht="26" customHeight="1">
      <c r="A4" s="15" t="inlineStr">
        <is>
          <t>投資大類</t>
        </is>
      </c>
      <c r="B4" s="15" t="inlineStr">
        <is>
          <t>標的代碼</t>
        </is>
      </c>
      <c r="C4" s="15" t="inlineStr">
        <is>
          <t>標的簡稱</t>
        </is>
      </c>
      <c r="D4" s="15" t="inlineStr">
        <is>
          <t>最新每期配息(元)</t>
        </is>
      </c>
      <c r="E4" s="15" t="inlineStr">
        <is>
          <t>最新年化配息率</t>
        </is>
      </c>
      <c r="F4" s="15" t="inlineStr">
        <is>
          <t>近一年累計配息(元)</t>
        </is>
      </c>
      <c r="G4" s="15" t="inlineStr">
        <is>
          <t>平均填息天數(天)</t>
        </is>
      </c>
      <c r="H4" s="15" t="inlineStr">
        <is>
          <t>歷史填息成功率</t>
        </is>
      </c>
      <c r="I4" s="15" t="inlineStr">
        <is>
          <t>最新平準金佔比</t>
        </is>
      </c>
      <c r="J4" s="15" t="inlineStr">
        <is>
          <t>最新股利所得佔比</t>
        </is>
      </c>
      <c r="K4" s="15" t="inlineStr">
        <is>
          <t>配息頻率</t>
        </is>
      </c>
      <c r="L4" s="15" t="inlineStr">
        <is>
          <t>填息力評級</t>
        </is>
      </c>
    </row>
    <row r="5" ht="20" customHeight="1">
      <c r="A5" s="20" t="inlineStr">
        <is>
          <t>ETF</t>
        </is>
      </c>
      <c r="B5" s="20" t="inlineStr">
        <is>
          <t>00400A</t>
        </is>
      </c>
      <c r="C5" s="21" t="inlineStr">
        <is>
          <t>主動國泰動能高息</t>
        </is>
      </c>
      <c r="D5" s="22" t="n">
        <v>0.12</v>
      </c>
      <c r="E5" s="23" t="n">
        <v>0.0877</v>
      </c>
      <c r="F5" s="22" t="n">
        <v>0.48</v>
      </c>
      <c r="G5" s="24" t="n">
        <v>8.699999999999999</v>
      </c>
      <c r="H5" s="23" t="n">
        <v>0.75</v>
      </c>
      <c r="I5" s="25" t="n">
        <v>0</v>
      </c>
      <c r="J5" s="23" t="n">
        <v>1</v>
      </c>
      <c r="K5" s="20" t="inlineStr">
        <is>
          <t>月配</t>
        </is>
      </c>
      <c r="L5" s="21" t="inlineStr">
        <is>
          <t>⚡ 極速填息王 (平均&lt;=10天)</t>
        </is>
      </c>
    </row>
    <row r="6" ht="20" customHeight="1">
      <c r="A6" s="26" t="inlineStr">
        <is>
          <t>ETF</t>
        </is>
      </c>
      <c r="B6" s="26" t="inlineStr">
        <is>
          <t>00878</t>
        </is>
      </c>
      <c r="C6" s="27" t="inlineStr">
        <is>
          <t>國泰永續高股息</t>
        </is>
      </c>
      <c r="D6" s="28" t="n">
        <v>1.01</v>
      </c>
      <c r="E6" s="29" t="n">
        <v>0.1204</v>
      </c>
      <c r="F6" s="28" t="n">
        <v>2.49</v>
      </c>
      <c r="G6" s="30" t="n">
        <v>54.2</v>
      </c>
      <c r="H6" s="29" t="n">
        <v>1</v>
      </c>
      <c r="I6" s="31" t="n">
        <v>0</v>
      </c>
      <c r="J6" s="29" t="n">
        <v>1</v>
      </c>
      <c r="K6" s="26" t="inlineStr">
        <is>
          <t>季配</t>
        </is>
      </c>
      <c r="L6" s="27" t="inlineStr">
        <is>
          <t>⏳ 長期慢速回補型</t>
        </is>
      </c>
    </row>
    <row r="7" ht="20" customHeight="1">
      <c r="A7" s="20" t="inlineStr">
        <is>
          <t>ETF</t>
        </is>
      </c>
      <c r="B7" s="20" t="inlineStr">
        <is>
          <t>00933B</t>
        </is>
      </c>
      <c r="C7" s="21" t="inlineStr">
        <is>
          <t>國泰10Y+金融債</t>
        </is>
      </c>
      <c r="D7" s="22" t="n">
        <v>0.073</v>
      </c>
      <c r="E7" s="23" t="n">
        <v>0.0567</v>
      </c>
      <c r="F7" s="22" t="n">
        <v>0.292</v>
      </c>
      <c r="G7" s="24" t="n">
        <v>8.300000000000001</v>
      </c>
      <c r="H7" s="23" t="n">
        <v>0.7</v>
      </c>
      <c r="I7" s="25" t="n">
        <v>0</v>
      </c>
      <c r="J7" s="23" t="n">
        <v>1</v>
      </c>
      <c r="K7" s="20" t="inlineStr">
        <is>
          <t>月配</t>
        </is>
      </c>
      <c r="L7" s="21" t="inlineStr">
        <is>
          <t>⚡ 極速填息王 (平均&lt;=10天)</t>
        </is>
      </c>
    </row>
    <row r="8" ht="20" customHeight="1">
      <c r="A8" s="26" t="inlineStr">
        <is>
          <t>ETF</t>
        </is>
      </c>
      <c r="B8" s="26" t="inlineStr">
        <is>
          <t>00725B</t>
        </is>
      </c>
      <c r="C8" s="27" t="inlineStr">
        <is>
          <t>國泰投資級公司債</t>
        </is>
      </c>
      <c r="D8" s="28" t="n">
        <v>0.49</v>
      </c>
      <c r="E8" s="29" t="n">
        <v>0.0579</v>
      </c>
      <c r="F8" s="28" t="n">
        <v>1.96</v>
      </c>
      <c r="G8" s="30" t="n">
        <v>42.8</v>
      </c>
      <c r="H8" s="29" t="n">
        <v>0.5</v>
      </c>
      <c r="I8" s="31" t="n">
        <v>0</v>
      </c>
      <c r="J8" s="29" t="n">
        <v>1</v>
      </c>
      <c r="K8" s="26" t="inlineStr">
        <is>
          <t>季配</t>
        </is>
      </c>
      <c r="L8" s="27" t="inlineStr">
        <is>
          <t>⏳ 長期慢速回補型</t>
        </is>
      </c>
    </row>
    <row r="9" ht="20" customHeight="1">
      <c r="A9" s="20" t="inlineStr">
        <is>
          <t>ETF</t>
        </is>
      </c>
      <c r="B9" s="20" t="inlineStr">
        <is>
          <t>00881</t>
        </is>
      </c>
      <c r="C9" s="21" t="inlineStr">
        <is>
          <t>國泰台灣科技龍頭</t>
        </is>
      </c>
      <c r="D9" s="22" t="n">
        <v>4.6</v>
      </c>
      <c r="E9" s="23" t="n">
        <v>0.1683</v>
      </c>
      <c r="F9" s="22" t="n">
        <v>8.549999999999999</v>
      </c>
      <c r="G9" s="24" t="n">
        <v>49</v>
      </c>
      <c r="H9" s="23" t="n">
        <v>0.75</v>
      </c>
      <c r="I9" s="25" t="n">
        <v>0</v>
      </c>
      <c r="J9" s="23" t="n">
        <v>1</v>
      </c>
      <c r="K9" s="20" t="inlineStr">
        <is>
          <t>每年2次</t>
        </is>
      </c>
      <c r="L9" s="21" t="inlineStr">
        <is>
          <t>⏳ 長期慢速回補型</t>
        </is>
      </c>
    </row>
    <row r="10" ht="20" customHeight="1">
      <c r="A10" s="26" t="inlineStr">
        <is>
          <t>ETF</t>
        </is>
      </c>
      <c r="B10" s="26" t="inlineStr">
        <is>
          <t>00922</t>
        </is>
      </c>
      <c r="C10" s="27" t="inlineStr">
        <is>
          <t>國泰台灣領袖50</t>
        </is>
      </c>
      <c r="D10" s="28" t="n">
        <v>2.1</v>
      </c>
      <c r="E10" s="29" t="n">
        <v>0.09939999999999999</v>
      </c>
      <c r="F10" s="28" t="n">
        <v>5.98</v>
      </c>
      <c r="G10" s="30" t="n">
        <v>48.7</v>
      </c>
      <c r="H10" s="29" t="n">
        <v>0.75</v>
      </c>
      <c r="I10" s="31" t="n">
        <v>0</v>
      </c>
      <c r="J10" s="29" t="n">
        <v>1</v>
      </c>
      <c r="K10" s="26" t="inlineStr">
        <is>
          <t>每年2次</t>
        </is>
      </c>
      <c r="L10" s="27" t="inlineStr">
        <is>
          <t>⏳ 長期慢速回補型</t>
        </is>
      </c>
    </row>
    <row r="11" ht="20" customHeight="1">
      <c r="A11" s="20" t="inlineStr">
        <is>
          <t>ETF</t>
        </is>
      </c>
      <c r="B11" s="20" t="inlineStr">
        <is>
          <t>00916</t>
        </is>
      </c>
      <c r="C11" s="21" t="inlineStr">
        <is>
          <t>國泰全球品牌50</t>
        </is>
      </c>
      <c r="D11" s="22" t="n">
        <v>1.92</v>
      </c>
      <c r="E11" s="23" t="n">
        <v>0.06909999999999999</v>
      </c>
      <c r="F11" s="22" t="n">
        <v>2.56</v>
      </c>
      <c r="G11" s="24" t="n">
        <v>43.5</v>
      </c>
      <c r="H11" s="23" t="n">
        <v>1</v>
      </c>
      <c r="I11" s="25" t="n">
        <v>0</v>
      </c>
      <c r="J11" s="23" t="n">
        <v>1</v>
      </c>
      <c r="K11" s="20" t="inlineStr">
        <is>
          <t>年配</t>
        </is>
      </c>
      <c r="L11" s="21" t="inlineStr">
        <is>
          <t>⏳ 長期慢速回補型</t>
        </is>
      </c>
    </row>
    <row r="12" ht="20" customHeight="1">
      <c r="A12" s="26" t="inlineStr">
        <is>
          <t>ETF</t>
        </is>
      </c>
      <c r="B12" s="26" t="inlineStr">
        <is>
          <t>00735</t>
        </is>
      </c>
      <c r="C12" s="27" t="inlineStr">
        <is>
          <t>國泰臺韓科技</t>
        </is>
      </c>
      <c r="D12" s="28" t="n">
        <v>3</v>
      </c>
      <c r="E12" s="29" t="n">
        <v>0.0562</v>
      </c>
      <c r="F12" s="28" t="n">
        <v>4.42</v>
      </c>
      <c r="G12" s="30" t="n">
        <v>11.2</v>
      </c>
      <c r="H12" s="29" t="n">
        <v>1</v>
      </c>
      <c r="I12" s="31" t="n">
        <v>0</v>
      </c>
      <c r="J12" s="29" t="n">
        <v>1</v>
      </c>
      <c r="K12" s="26" t="inlineStr">
        <is>
          <t>每年2次</t>
        </is>
      </c>
      <c r="L12" s="27" t="inlineStr">
        <is>
          <t>⭐ 穩健填息型 (1~2個月內)</t>
        </is>
      </c>
    </row>
    <row r="13" ht="20" customHeight="1">
      <c r="A13" s="20" t="inlineStr">
        <is>
          <t>ETF</t>
        </is>
      </c>
      <c r="B13" s="20" t="inlineStr">
        <is>
          <t>00830</t>
        </is>
      </c>
      <c r="C13" s="21" t="inlineStr">
        <is>
          <t>國泰費城半導體</t>
        </is>
      </c>
      <c r="D13" s="22" t="n">
        <v>9</v>
      </c>
      <c r="E13" s="23" t="n">
        <v>0.1393</v>
      </c>
      <c r="F13" s="22" t="n">
        <v>14.59</v>
      </c>
      <c r="G13" s="24" t="n">
        <v>105</v>
      </c>
      <c r="H13" s="23" t="n">
        <v>1</v>
      </c>
      <c r="I13" s="25" t="n">
        <v>0</v>
      </c>
      <c r="J13" s="23" t="n">
        <v>1</v>
      </c>
      <c r="K13" s="20" t="inlineStr">
        <is>
          <t>年配</t>
        </is>
      </c>
      <c r="L13" s="21" t="inlineStr">
        <is>
          <t>⏳ 長期慢速回補型</t>
        </is>
      </c>
    </row>
    <row r="14" ht="20" customHeight="1">
      <c r="A14" s="26" t="inlineStr">
        <is>
          <t>ETF</t>
        </is>
      </c>
      <c r="B14" s="26" t="inlineStr">
        <is>
          <t>00770</t>
        </is>
      </c>
      <c r="C14" s="27" t="inlineStr">
        <is>
          <t>國泰北美科技</t>
        </is>
      </c>
      <c r="D14" s="28" t="n">
        <v>6</v>
      </c>
      <c r="E14" s="29" t="n">
        <v>0.08869999999999999</v>
      </c>
      <c r="F14" s="28" t="n">
        <v>18.2</v>
      </c>
      <c r="G14" s="30" t="n">
        <v>107</v>
      </c>
      <c r="H14" s="29" t="n">
        <v>0.6666666666666666</v>
      </c>
      <c r="I14" s="31" t="n">
        <v>0</v>
      </c>
      <c r="J14" s="29" t="n">
        <v>1</v>
      </c>
      <c r="K14" s="26" t="inlineStr">
        <is>
          <t>年配</t>
        </is>
      </c>
      <c r="L14" s="27" t="inlineStr">
        <is>
          <t>⏳ 長期慢速回補型</t>
        </is>
      </c>
    </row>
    <row r="15" ht="20" customHeight="1">
      <c r="A15" s="20" t="inlineStr">
        <is>
          <t>共同基金</t>
        </is>
      </c>
      <c r="B15" s="20" t="inlineStr">
        <is>
          <t>CM</t>
        </is>
      </c>
      <c r="C15" s="21" t="inlineStr">
        <is>
          <t>國泰台灣高股息基金(新台幣)-B</t>
        </is>
      </c>
      <c r="D15" s="22" t="n">
        <v>0.48</v>
      </c>
      <c r="E15" s="23" t="n">
        <v>0.0974</v>
      </c>
      <c r="F15" s="22" t="n">
        <v>1.92</v>
      </c>
      <c r="G15" s="24" t="n">
        <v>4</v>
      </c>
      <c r="H15" s="23" t="n">
        <v>1</v>
      </c>
      <c r="I15" s="25" t="n">
        <v>0</v>
      </c>
      <c r="J15" s="23" t="n">
        <v>1</v>
      </c>
      <c r="K15" s="20" t="inlineStr">
        <is>
          <t>月配</t>
        </is>
      </c>
      <c r="L15" s="21" t="inlineStr">
        <is>
          <t>⚡ 極速填息王 (平均&lt;=10天)</t>
        </is>
      </c>
    </row>
    <row r="16" ht="20" customHeight="1">
      <c r="A16" s="26" t="inlineStr">
        <is>
          <t>共同基金</t>
        </is>
      </c>
      <c r="B16" s="26" t="inlineStr">
        <is>
          <t>C4</t>
        </is>
      </c>
      <c r="C16" s="27" t="inlineStr">
        <is>
          <t>國泰美國多重收益平衡基金(新台幣)-B</t>
        </is>
      </c>
      <c r="D16" s="28" t="n">
        <v>0.06587933</v>
      </c>
      <c r="E16" s="29" t="n">
        <v>0.0801</v>
      </c>
      <c r="F16" s="28" t="n">
        <v>0.26836266</v>
      </c>
      <c r="G16" s="30" t="n">
        <v>12.3</v>
      </c>
      <c r="H16" s="29" t="n">
        <v>1</v>
      </c>
      <c r="I16" s="31" t="n">
        <v>0</v>
      </c>
      <c r="J16" s="29" t="n">
        <v>1</v>
      </c>
      <c r="K16" s="26" t="inlineStr">
        <is>
          <t>月配</t>
        </is>
      </c>
      <c r="L16" s="27" t="inlineStr">
        <is>
          <t>⭐ 穩健填息型 (1~2個月內)</t>
        </is>
      </c>
    </row>
    <row r="17" ht="20" customHeight="1">
      <c r="A17" s="20" t="inlineStr">
        <is>
          <t>共同基金</t>
        </is>
      </c>
      <c r="B17" s="20" t="inlineStr">
        <is>
          <t>AO</t>
        </is>
      </c>
      <c r="C17" s="21" t="inlineStr">
        <is>
          <t>國泰主順位資產抵押非投資等級債券基金(新台幣)-B</t>
        </is>
      </c>
      <c r="D17" s="22" t="n">
        <v>0.04162805</v>
      </c>
      <c r="E17" s="23" t="n">
        <v>0.06370000000000001</v>
      </c>
      <c r="F17" s="22" t="n">
        <v>0.17094562</v>
      </c>
      <c r="G17" s="24" t="n">
        <v>17.3</v>
      </c>
      <c r="H17" s="23" t="n">
        <v>0.7</v>
      </c>
      <c r="I17" s="25" t="n">
        <v>0</v>
      </c>
      <c r="J17" s="23" t="n">
        <v>1</v>
      </c>
      <c r="K17" s="20" t="inlineStr">
        <is>
          <t>月配</t>
        </is>
      </c>
      <c r="L17" s="21" t="inlineStr">
        <is>
          <t>⭐ 穩健填息型 (1~2個月內)</t>
        </is>
      </c>
    </row>
    <row r="18" ht="20" customHeight="1">
      <c r="A18" s="26" t="inlineStr">
        <is>
          <t>共同基金</t>
        </is>
      </c>
      <c r="B18" s="26" t="inlineStr">
        <is>
          <t>DH</t>
        </is>
      </c>
      <c r="C18" s="27" t="inlineStr">
        <is>
          <t>國泰美國優質債券基金(新台幣)-B</t>
        </is>
      </c>
      <c r="D18" s="28" t="n">
        <v>0.0554</v>
      </c>
      <c r="E18" s="29" t="n">
        <v>0.08</v>
      </c>
      <c r="F18" s="28" t="n">
        <v>0.2302</v>
      </c>
      <c r="G18" s="30" t="n">
        <v>9.5</v>
      </c>
      <c r="H18" s="29" t="n">
        <v>0.8</v>
      </c>
      <c r="I18" s="29" t="n">
        <v>0.5321</v>
      </c>
      <c r="J18" s="29" t="n">
        <v>0.4679</v>
      </c>
      <c r="K18" s="26" t="inlineStr">
        <is>
          <t>月配</t>
        </is>
      </c>
      <c r="L18" s="27" t="inlineStr">
        <is>
          <t>⚡ 極速填息王 (平均&lt;=10天)</t>
        </is>
      </c>
    </row>
    <row r="19" ht="20" customHeight="1">
      <c r="A19" s="20" t="inlineStr">
        <is>
          <t>共同基金</t>
        </is>
      </c>
      <c r="B19" s="20" t="inlineStr">
        <is>
          <t>C5</t>
        </is>
      </c>
      <c r="C19" s="21" t="inlineStr">
        <is>
          <t>國泰美國多重收益平衡基金(新台幣)-NB</t>
        </is>
      </c>
      <c r="D19" s="22" t="n">
        <v>0.06581133</v>
      </c>
      <c r="E19" s="23" t="n">
        <v>0.0801</v>
      </c>
      <c r="F19" s="22" t="n">
        <v>0.26808531</v>
      </c>
      <c r="G19" s="24" t="n">
        <v>12.3</v>
      </c>
      <c r="H19" s="23" t="n">
        <v>1</v>
      </c>
      <c r="I19" s="25" t="n">
        <v>0</v>
      </c>
      <c r="J19" s="23" t="n">
        <v>1</v>
      </c>
      <c r="K19" s="20" t="inlineStr">
        <is>
          <t>月配</t>
        </is>
      </c>
      <c r="L19" s="21" t="inlineStr">
        <is>
          <t>⭐ 穩健填息型 (1~2個月內)</t>
        </is>
      </c>
    </row>
    <row r="20" ht="20" customHeight="1">
      <c r="A20" s="26" t="inlineStr">
        <is>
          <t>共同基金</t>
        </is>
      </c>
      <c r="B20" s="26" t="inlineStr">
        <is>
          <t>DW</t>
        </is>
      </c>
      <c r="C20" s="27" t="inlineStr">
        <is>
          <t>國泰美國優質債券基金(新台幣)-NB</t>
        </is>
      </c>
      <c r="D20" s="28" t="n">
        <v>0.0554</v>
      </c>
      <c r="E20" s="29" t="n">
        <v>0.08</v>
      </c>
      <c r="F20" s="28" t="n">
        <v>0.2301</v>
      </c>
      <c r="G20" s="30" t="n">
        <v>9.5</v>
      </c>
      <c r="H20" s="29" t="n">
        <v>0.8</v>
      </c>
      <c r="I20" s="29" t="n">
        <v>0.5235</v>
      </c>
      <c r="J20" s="29" t="n">
        <v>0.4765</v>
      </c>
      <c r="K20" s="26" t="inlineStr">
        <is>
          <t>月配</t>
        </is>
      </c>
      <c r="L20" s="27" t="inlineStr">
        <is>
          <t>⚡ 極速填息王 (平均&lt;=10天)</t>
        </is>
      </c>
    </row>
    <row r="21" ht="20" customHeight="1">
      <c r="A21" s="20" t="inlineStr">
        <is>
          <t>共同基金</t>
        </is>
      </c>
      <c r="B21" s="20" t="inlineStr">
        <is>
          <t>AP</t>
        </is>
      </c>
      <c r="C21" s="21" t="inlineStr">
        <is>
          <t>國泰主順位資產抵押非投資等級債券基金(新台幣)-NB</t>
        </is>
      </c>
      <c r="D21" s="22" t="n">
        <v>0.04180549</v>
      </c>
      <c r="E21" s="23" t="n">
        <v>0.06370000000000001</v>
      </c>
      <c r="F21" s="22" t="n">
        <v>0.17167255</v>
      </c>
      <c r="G21" s="24" t="n">
        <v>17.3</v>
      </c>
      <c r="H21" s="23" t="n">
        <v>0.7</v>
      </c>
      <c r="I21" s="23" t="n">
        <v>0.188</v>
      </c>
      <c r="J21" s="23" t="n">
        <v>0.8120000000000001</v>
      </c>
      <c r="K21" s="20" t="inlineStr">
        <is>
          <t>月配</t>
        </is>
      </c>
      <c r="L21" s="21" t="inlineStr">
        <is>
          <t>⭐ 穩健填息型 (1~2個月內)</t>
        </is>
      </c>
    </row>
    <row r="24" ht="24" customHeight="1">
      <c r="A24" s="4" t="inlineStr">
        <is>
          <t>【各標的 歷次詳細配息紀錄、填息天數與收益平準金明細】</t>
        </is>
      </c>
    </row>
    <row r="25" ht="26" customHeight="1">
      <c r="A25" s="15" t="inlineStr">
        <is>
          <t>投資大類</t>
        </is>
      </c>
      <c r="B25" s="15" t="inlineStr">
        <is>
          <t>標的代碼</t>
        </is>
      </c>
      <c r="C25" s="15" t="inlineStr">
        <is>
          <t>標的簡稱</t>
        </is>
      </c>
      <c r="D25" s="15" t="inlineStr">
        <is>
          <t>配息年月</t>
        </is>
      </c>
      <c r="E25" s="15" t="inlineStr">
        <is>
          <t>每單位配息(元)</t>
        </is>
      </c>
      <c r="F25" s="15" t="inlineStr">
        <is>
          <t>當期配息率</t>
        </is>
      </c>
      <c r="G25" s="15" t="inlineStr">
        <is>
          <t>年化配息率</t>
        </is>
      </c>
      <c r="H25" s="15" t="inlineStr">
        <is>
          <t>除息前基準價</t>
        </is>
      </c>
      <c r="I25" s="15" t="inlineStr">
        <is>
          <t>除息交易日</t>
        </is>
      </c>
      <c r="J25" s="15" t="inlineStr">
        <is>
          <t>配息發放日</t>
        </is>
      </c>
      <c r="K25" s="15" t="inlineStr">
        <is>
          <t>填息狀態</t>
        </is>
      </c>
      <c r="L25" s="15" t="inlineStr">
        <is>
          <t>填息天數(日)</t>
        </is>
      </c>
      <c r="M25" s="15" t="inlineStr">
        <is>
          <t>股利所得佔比</t>
        </is>
      </c>
      <c r="N25" s="15" t="inlineStr">
        <is>
          <t>收益平準金佔比</t>
        </is>
      </c>
      <c r="O25" s="15" t="inlineStr">
        <is>
          <t>配息頻率</t>
        </is>
      </c>
    </row>
    <row r="26" ht="19" customHeight="1">
      <c r="A26" s="26" t="inlineStr">
        <is>
          <t>ETF</t>
        </is>
      </c>
      <c r="B26" s="26" t="inlineStr">
        <is>
          <t>00400A</t>
        </is>
      </c>
      <c r="C26" s="27" t="inlineStr">
        <is>
          <t>主動國泰動能高息</t>
        </is>
      </c>
      <c r="D26" s="26" t="inlineStr">
        <is>
          <t>2026/09</t>
        </is>
      </c>
      <c r="E26" s="32" t="n">
        <v>0.12</v>
      </c>
      <c r="F26" s="29" t="n">
        <v>0.0073</v>
      </c>
      <c r="G26" s="29" t="n">
        <v>0.0877</v>
      </c>
      <c r="H26" s="32" t="n">
        <v>16.47</v>
      </c>
      <c r="I26" s="27" t="inlineStr">
        <is>
          <t>2026/10/08</t>
        </is>
      </c>
      <c r="J26" s="27" t="inlineStr">
        <is>
          <t>2026/11/05</t>
        </is>
      </c>
      <c r="K26" s="33" t="inlineStr">
        <is>
          <t>尚未填息 (貼息中)</t>
        </is>
      </c>
      <c r="L26" s="34" t="n">
        <v/>
      </c>
      <c r="M26" s="29" t="n">
        <v>1</v>
      </c>
      <c r="N26" s="31" t="n">
        <v>0</v>
      </c>
      <c r="O26" s="26" t="inlineStr">
        <is>
          <t>月配</t>
        </is>
      </c>
    </row>
    <row r="27" ht="19" customHeight="1">
      <c r="A27" s="20" t="inlineStr">
        <is>
          <t>ETF</t>
        </is>
      </c>
      <c r="B27" s="20" t="inlineStr">
        <is>
          <t>00400A</t>
        </is>
      </c>
      <c r="C27" s="21" t="inlineStr">
        <is>
          <t>主動國泰動能高息</t>
        </is>
      </c>
      <c r="D27" s="20" t="inlineStr">
        <is>
          <t>2026/08</t>
        </is>
      </c>
      <c r="E27" s="35" t="n">
        <v>0.12</v>
      </c>
      <c r="F27" s="23" t="n">
        <v>0.007900000000000001</v>
      </c>
      <c r="G27" s="23" t="n">
        <v>0.0949</v>
      </c>
      <c r="H27" s="35" t="n">
        <v>15.17</v>
      </c>
      <c r="I27" s="21" t="inlineStr">
        <is>
          <t>2026/09/07</t>
        </is>
      </c>
      <c r="J27" s="21" t="inlineStr">
        <is>
          <t>2026/10/05</t>
        </is>
      </c>
      <c r="K27" s="36" t="inlineStr">
        <is>
          <t>已填息 (1天)</t>
        </is>
      </c>
      <c r="L27" s="37" t="n">
        <v>1</v>
      </c>
      <c r="M27" s="23" t="n">
        <v>1</v>
      </c>
      <c r="N27" s="25" t="n">
        <v>0</v>
      </c>
      <c r="O27" s="20" t="inlineStr">
        <is>
          <t>月配</t>
        </is>
      </c>
    </row>
    <row r="28" ht="19" customHeight="1">
      <c r="A28" s="26" t="inlineStr">
        <is>
          <t>ETF</t>
        </is>
      </c>
      <c r="B28" s="26" t="inlineStr">
        <is>
          <t>00400A</t>
        </is>
      </c>
      <c r="C28" s="27" t="inlineStr">
        <is>
          <t>主動國泰動能高息</t>
        </is>
      </c>
      <c r="D28" s="26" t="inlineStr">
        <is>
          <t>2026/07</t>
        </is>
      </c>
      <c r="E28" s="32" t="n">
        <v>0.12</v>
      </c>
      <c r="F28" s="29" t="n">
        <v>0.008800000000000001</v>
      </c>
      <c r="G28" s="29" t="n">
        <v>0.1061</v>
      </c>
      <c r="H28" s="32" t="n">
        <v>13.57</v>
      </c>
      <c r="I28" s="27" t="inlineStr">
        <is>
          <t>2026/08/05</t>
        </is>
      </c>
      <c r="J28" s="27" t="inlineStr">
        <is>
          <t>2026/08/31</t>
        </is>
      </c>
      <c r="K28" s="38" t="inlineStr">
        <is>
          <t>已填息 (1天)</t>
        </is>
      </c>
      <c r="L28" s="34" t="n">
        <v>1</v>
      </c>
      <c r="M28" s="29" t="n">
        <v>1</v>
      </c>
      <c r="N28" s="31" t="n">
        <v>0</v>
      </c>
      <c r="O28" s="26" t="inlineStr">
        <is>
          <t>月配</t>
        </is>
      </c>
    </row>
    <row r="29" ht="19" customHeight="1">
      <c r="A29" s="20" t="inlineStr">
        <is>
          <t>ETF</t>
        </is>
      </c>
      <c r="B29" s="20" t="inlineStr">
        <is>
          <t>00400A</t>
        </is>
      </c>
      <c r="C29" s="21" t="inlineStr">
        <is>
          <t>主動國泰動能高息</t>
        </is>
      </c>
      <c r="D29" s="20" t="inlineStr">
        <is>
          <t>2026/06</t>
        </is>
      </c>
      <c r="E29" s="35" t="n">
        <v>0.12</v>
      </c>
      <c r="F29" s="23" t="n">
        <v>0.008399999999999999</v>
      </c>
      <c r="G29" s="23" t="n">
        <v>0.1011</v>
      </c>
      <c r="H29" s="35" t="n">
        <v>14.29</v>
      </c>
      <c r="I29" s="21" t="inlineStr">
        <is>
          <t>2026/07/09</t>
        </is>
      </c>
      <c r="J29" s="21" t="inlineStr">
        <is>
          <t>2026/07/31</t>
        </is>
      </c>
      <c r="K29" s="36" t="inlineStr">
        <is>
          <t>已填息 (24天)</t>
        </is>
      </c>
      <c r="L29" s="37" t="n">
        <v>24</v>
      </c>
      <c r="M29" s="23" t="n">
        <v>1</v>
      </c>
      <c r="N29" s="25" t="n">
        <v>0</v>
      </c>
      <c r="O29" s="20" t="inlineStr">
        <is>
          <t>月配</t>
        </is>
      </c>
    </row>
    <row r="30" ht="19" customHeight="1">
      <c r="A30" s="26" t="inlineStr">
        <is>
          <t>ETF</t>
        </is>
      </c>
      <c r="B30" s="26" t="inlineStr">
        <is>
          <t>00878</t>
        </is>
      </c>
      <c r="C30" s="27" t="inlineStr">
        <is>
          <t>國泰永續高股息</t>
        </is>
      </c>
      <c r="D30" s="26" t="inlineStr">
        <is>
          <t>2026/07</t>
        </is>
      </c>
      <c r="E30" s="32" t="n">
        <v>1.01</v>
      </c>
      <c r="F30" s="29" t="n">
        <v>0.0301</v>
      </c>
      <c r="G30" s="29" t="n">
        <v>0.1204</v>
      </c>
      <c r="H30" s="32" t="n">
        <v>33.75</v>
      </c>
      <c r="I30" s="27" t="inlineStr">
        <is>
          <t>2026/08/18</t>
        </is>
      </c>
      <c r="J30" s="27" t="inlineStr">
        <is>
          <t>2026/09/11</t>
        </is>
      </c>
      <c r="K30" s="38" t="inlineStr">
        <is>
          <t>已填息 (11天)</t>
        </is>
      </c>
      <c r="L30" s="34" t="n">
        <v>11</v>
      </c>
      <c r="M30" s="29" t="n">
        <v>1</v>
      </c>
      <c r="N30" s="31" t="n">
        <v>0</v>
      </c>
      <c r="O30" s="26" t="inlineStr">
        <is>
          <t>季配</t>
        </is>
      </c>
    </row>
    <row r="31" ht="19" customHeight="1">
      <c r="A31" s="20" t="inlineStr">
        <is>
          <t>ETF</t>
        </is>
      </c>
      <c r="B31" s="20" t="inlineStr">
        <is>
          <t>00878</t>
        </is>
      </c>
      <c r="C31" s="21" t="inlineStr">
        <is>
          <t>國泰永續高股息</t>
        </is>
      </c>
      <c r="D31" s="20" t="inlineStr">
        <is>
          <t>2026/04</t>
        </is>
      </c>
      <c r="E31" s="35" t="n">
        <v>0.66</v>
      </c>
      <c r="F31" s="23" t="n">
        <v>0.0238</v>
      </c>
      <c r="G31" s="23" t="n">
        <v>0.09519999999999999</v>
      </c>
      <c r="H31" s="35" t="n">
        <v>27.8</v>
      </c>
      <c r="I31" s="21" t="inlineStr">
        <is>
          <t>2026/05/19</t>
        </is>
      </c>
      <c r="J31" s="21" t="inlineStr">
        <is>
          <t>2026/06/12</t>
        </is>
      </c>
      <c r="K31" s="36" t="inlineStr">
        <is>
          <t>已填息 (4天)</t>
        </is>
      </c>
      <c r="L31" s="37" t="n">
        <v>4</v>
      </c>
      <c r="M31" s="23" t="n">
        <v>1</v>
      </c>
      <c r="N31" s="25" t="n">
        <v>0</v>
      </c>
      <c r="O31" s="20" t="inlineStr">
        <is>
          <t>季配</t>
        </is>
      </c>
    </row>
    <row r="32" ht="19" customHeight="1">
      <c r="A32" s="26" t="inlineStr">
        <is>
          <t>ETF</t>
        </is>
      </c>
      <c r="B32" s="26" t="inlineStr">
        <is>
          <t>00878</t>
        </is>
      </c>
      <c r="C32" s="27" t="inlineStr">
        <is>
          <t>國泰永續高股息</t>
        </is>
      </c>
      <c r="D32" s="26" t="inlineStr">
        <is>
          <t>2026/01</t>
        </is>
      </c>
      <c r="E32" s="32" t="n">
        <v>0.42</v>
      </c>
      <c r="F32" s="29" t="n">
        <v>0.0175</v>
      </c>
      <c r="G32" s="29" t="n">
        <v>0.0699</v>
      </c>
      <c r="H32" s="32" t="n">
        <v>24</v>
      </c>
      <c r="I32" s="27" t="inlineStr">
        <is>
          <t>2026/02/26</t>
        </is>
      </c>
      <c r="J32" s="27" t="inlineStr">
        <is>
          <t>2026/03/23</t>
        </is>
      </c>
      <c r="K32" s="38" t="inlineStr">
        <is>
          <t>已填息 (34天)</t>
        </is>
      </c>
      <c r="L32" s="34" t="n">
        <v>34</v>
      </c>
      <c r="M32" s="29" t="n">
        <v>1</v>
      </c>
      <c r="N32" s="31" t="n">
        <v>0</v>
      </c>
      <c r="O32" s="26" t="inlineStr">
        <is>
          <t>季配</t>
        </is>
      </c>
    </row>
    <row r="33" ht="19" customHeight="1">
      <c r="A33" s="20" t="inlineStr">
        <is>
          <t>ETF</t>
        </is>
      </c>
      <c r="B33" s="20" t="inlineStr">
        <is>
          <t>00878</t>
        </is>
      </c>
      <c r="C33" s="21" t="inlineStr">
        <is>
          <t>國泰永續高股息</t>
        </is>
      </c>
      <c r="D33" s="20" t="inlineStr">
        <is>
          <t>2025/10</t>
        </is>
      </c>
      <c r="E33" s="35" t="n">
        <v>0.4</v>
      </c>
      <c r="F33" s="23" t="n">
        <v>0.019</v>
      </c>
      <c r="G33" s="23" t="n">
        <v>0.0762</v>
      </c>
      <c r="H33" s="35" t="n">
        <v>21.11</v>
      </c>
      <c r="I33" s="21" t="inlineStr">
        <is>
          <t>2025/11/18</t>
        </is>
      </c>
      <c r="J33" s="21" t="inlineStr">
        <is>
          <t>2025/12/12</t>
        </is>
      </c>
      <c r="K33" s="36" t="inlineStr">
        <is>
          <t>已填息 (13天)</t>
        </is>
      </c>
      <c r="L33" s="37" t="n">
        <v>13</v>
      </c>
      <c r="M33" s="23" t="n">
        <v>1</v>
      </c>
      <c r="N33" s="25" t="n">
        <v>0</v>
      </c>
      <c r="O33" s="20" t="inlineStr">
        <is>
          <t>季配</t>
        </is>
      </c>
    </row>
    <row r="34" ht="19" customHeight="1">
      <c r="A34" s="26" t="inlineStr">
        <is>
          <t>ETF</t>
        </is>
      </c>
      <c r="B34" s="26" t="inlineStr">
        <is>
          <t>00878</t>
        </is>
      </c>
      <c r="C34" s="27" t="inlineStr">
        <is>
          <t>國泰永續高股息</t>
        </is>
      </c>
      <c r="D34" s="26" t="inlineStr">
        <is>
          <t>2025/07</t>
        </is>
      </c>
      <c r="E34" s="32" t="n">
        <v>0.4</v>
      </c>
      <c r="F34" s="29" t="n">
        <v>0.019</v>
      </c>
      <c r="G34" s="29" t="n">
        <v>0.07580000000000001</v>
      </c>
      <c r="H34" s="32" t="n">
        <v>21.16</v>
      </c>
      <c r="I34" s="27" t="inlineStr">
        <is>
          <t>2025/08/18</t>
        </is>
      </c>
      <c r="J34" s="27" t="inlineStr">
        <is>
          <t>2025/09/11</t>
        </is>
      </c>
      <c r="K34" s="38" t="inlineStr">
        <is>
          <t>已填息 (25天)</t>
        </is>
      </c>
      <c r="L34" s="34" t="n">
        <v>25</v>
      </c>
      <c r="M34" s="29" t="n">
        <v>1</v>
      </c>
      <c r="N34" s="31" t="n">
        <v>0</v>
      </c>
      <c r="O34" s="26" t="inlineStr">
        <is>
          <t>季配</t>
        </is>
      </c>
    </row>
    <row r="35" ht="19" customHeight="1">
      <c r="A35" s="20" t="inlineStr">
        <is>
          <t>ETF</t>
        </is>
      </c>
      <c r="B35" s="20" t="inlineStr">
        <is>
          <t>00878</t>
        </is>
      </c>
      <c r="C35" s="21" t="inlineStr">
        <is>
          <t>國泰永續高股息</t>
        </is>
      </c>
      <c r="D35" s="20" t="inlineStr">
        <is>
          <t>2025/04</t>
        </is>
      </c>
      <c r="E35" s="35" t="n">
        <v>0.47</v>
      </c>
      <c r="F35" s="23" t="n">
        <v>0.0222</v>
      </c>
      <c r="G35" s="23" t="n">
        <v>0.0888</v>
      </c>
      <c r="H35" s="35" t="n">
        <v>21.26</v>
      </c>
      <c r="I35" s="21" t="inlineStr">
        <is>
          <t>2025/05/19</t>
        </is>
      </c>
      <c r="J35" s="21" t="inlineStr">
        <is>
          <t>2025/06/13</t>
        </is>
      </c>
      <c r="K35" s="36" t="inlineStr">
        <is>
          <t>已填息 (58天)</t>
        </is>
      </c>
      <c r="L35" s="37" t="n">
        <v>58</v>
      </c>
      <c r="M35" s="23" t="n">
        <v>1</v>
      </c>
      <c r="N35" s="25" t="n">
        <v>0</v>
      </c>
      <c r="O35" s="20" t="inlineStr">
        <is>
          <t>季配</t>
        </is>
      </c>
    </row>
    <row r="36" ht="19" customHeight="1">
      <c r="A36" s="26" t="inlineStr">
        <is>
          <t>ETF</t>
        </is>
      </c>
      <c r="B36" s="26" t="inlineStr">
        <is>
          <t>00878</t>
        </is>
      </c>
      <c r="C36" s="27" t="inlineStr">
        <is>
          <t>國泰永續高股息</t>
        </is>
      </c>
      <c r="D36" s="26" t="inlineStr">
        <is>
          <t>2025/01</t>
        </is>
      </c>
      <c r="E36" s="32" t="n">
        <v>0.5</v>
      </c>
      <c r="F36" s="29" t="n">
        <v>0.0219</v>
      </c>
      <c r="G36" s="29" t="n">
        <v>0.08740000000000001</v>
      </c>
      <c r="H36" s="32" t="n">
        <v>22.96</v>
      </c>
      <c r="I36" s="27" t="inlineStr">
        <is>
          <t>2025/02/20</t>
        </is>
      </c>
      <c r="J36" s="27" t="inlineStr">
        <is>
          <t>2025/03/18</t>
        </is>
      </c>
      <c r="K36" s="38" t="inlineStr">
        <is>
          <t>已填息 (231天)</t>
        </is>
      </c>
      <c r="L36" s="34" t="n">
        <v>231</v>
      </c>
      <c r="M36" s="29" t="n">
        <v>1</v>
      </c>
      <c r="N36" s="31" t="n">
        <v>0</v>
      </c>
      <c r="O36" s="26" t="inlineStr">
        <is>
          <t>季配</t>
        </is>
      </c>
    </row>
    <row r="37" ht="19" customHeight="1">
      <c r="A37" s="20" t="inlineStr">
        <is>
          <t>ETF</t>
        </is>
      </c>
      <c r="B37" s="20" t="inlineStr">
        <is>
          <t>00878</t>
        </is>
      </c>
      <c r="C37" s="21" t="inlineStr">
        <is>
          <t>國泰永續高股息</t>
        </is>
      </c>
      <c r="D37" s="20" t="inlineStr">
        <is>
          <t>2024/10</t>
        </is>
      </c>
      <c r="E37" s="35" t="n">
        <v>0.55</v>
      </c>
      <c r="F37" s="23" t="n">
        <v>0.0244</v>
      </c>
      <c r="G37" s="23" t="n">
        <v>0.09759999999999999</v>
      </c>
      <c r="H37" s="35" t="n">
        <v>22.73</v>
      </c>
      <c r="I37" s="21" t="inlineStr">
        <is>
          <t>2024/11/18</t>
        </is>
      </c>
      <c r="J37" s="21" t="inlineStr">
        <is>
          <t>2024/12/12</t>
        </is>
      </c>
      <c r="K37" s="36" t="inlineStr">
        <is>
          <t>已填息 (58天)</t>
        </is>
      </c>
      <c r="L37" s="37" t="n">
        <v>58</v>
      </c>
      <c r="M37" s="23" t="n">
        <v>1</v>
      </c>
      <c r="N37" s="25" t="n">
        <v>0</v>
      </c>
      <c r="O37" s="20" t="inlineStr">
        <is>
          <t>季配</t>
        </is>
      </c>
    </row>
    <row r="38" ht="19" customHeight="1">
      <c r="A38" s="26" t="inlineStr">
        <is>
          <t>ETF</t>
        </is>
      </c>
      <c r="B38" s="26" t="inlineStr">
        <is>
          <t>00878</t>
        </is>
      </c>
      <c r="C38" s="27" t="inlineStr">
        <is>
          <t>國泰永續高股息</t>
        </is>
      </c>
      <c r="D38" s="26" t="inlineStr">
        <is>
          <t>2024/07</t>
        </is>
      </c>
      <c r="E38" s="32" t="n">
        <v>0.55</v>
      </c>
      <c r="F38" s="29" t="n">
        <v>0.0239</v>
      </c>
      <c r="G38" s="29" t="n">
        <v>0.0958</v>
      </c>
      <c r="H38" s="32" t="n">
        <v/>
      </c>
      <c r="I38" s="27" t="inlineStr">
        <is>
          <t>2024/08/16</t>
        </is>
      </c>
      <c r="J38" s="27" t="inlineStr">
        <is>
          <t>2024/09/11</t>
        </is>
      </c>
      <c r="K38" s="26" t="inlineStr">
        <is>
          <t>資料不足</t>
        </is>
      </c>
      <c r="L38" s="34" t="n">
        <v/>
      </c>
      <c r="M38" s="29" t="n">
        <v>1</v>
      </c>
      <c r="N38" s="31" t="n">
        <v>0</v>
      </c>
      <c r="O38" s="26" t="inlineStr">
        <is>
          <t>季配</t>
        </is>
      </c>
    </row>
    <row r="39" ht="19" customHeight="1">
      <c r="A39" s="20" t="inlineStr">
        <is>
          <t>ETF</t>
        </is>
      </c>
      <c r="B39" s="20" t="inlineStr">
        <is>
          <t>00878</t>
        </is>
      </c>
      <c r="C39" s="21" t="inlineStr">
        <is>
          <t>國泰永續高股息</t>
        </is>
      </c>
      <c r="D39" s="20" t="inlineStr">
        <is>
          <t>2024/04</t>
        </is>
      </c>
      <c r="E39" s="35" t="n">
        <v>0.51</v>
      </c>
      <c r="F39" s="23" t="n">
        <v>0.0217</v>
      </c>
      <c r="G39" s="23" t="n">
        <v>0.08699999999999999</v>
      </c>
      <c r="H39" s="35" t="n">
        <v/>
      </c>
      <c r="I39" s="21" t="inlineStr">
        <is>
          <t>2024/05/17</t>
        </is>
      </c>
      <c r="J39" s="21" t="inlineStr">
        <is>
          <t>2024/06/13</t>
        </is>
      </c>
      <c r="K39" s="20" t="inlineStr">
        <is>
          <t>資料不足</t>
        </is>
      </c>
      <c r="L39" s="37" t="n">
        <v/>
      </c>
      <c r="M39" s="23" t="n">
        <v>1</v>
      </c>
      <c r="N39" s="25" t="n">
        <v>0</v>
      </c>
      <c r="O39" s="20" t="inlineStr">
        <is>
          <t>季配</t>
        </is>
      </c>
    </row>
    <row r="40" ht="19" customHeight="1">
      <c r="A40" s="26" t="inlineStr">
        <is>
          <t>ETF</t>
        </is>
      </c>
      <c r="B40" s="26" t="inlineStr">
        <is>
          <t>00933B</t>
        </is>
      </c>
      <c r="C40" s="27" t="inlineStr">
        <is>
          <t>國泰10Y+金融債</t>
        </is>
      </c>
      <c r="D40" s="26" t="inlineStr">
        <is>
          <t>2026/09</t>
        </is>
      </c>
      <c r="E40" s="32" t="n">
        <v>0.073</v>
      </c>
      <c r="F40" s="29" t="n">
        <v>0.004699999999999999</v>
      </c>
      <c r="G40" s="29" t="n">
        <v>0.0567</v>
      </c>
      <c r="H40" s="32" t="n">
        <v>15.48</v>
      </c>
      <c r="I40" s="27" t="inlineStr">
        <is>
          <t>2026/10/19</t>
        </is>
      </c>
      <c r="J40" s="27" t="inlineStr">
        <is>
          <t>2026/11/12</t>
        </is>
      </c>
      <c r="K40" s="33" t="inlineStr">
        <is>
          <t>尚未填息 (貼息中)</t>
        </is>
      </c>
      <c r="L40" s="34" t="n">
        <v/>
      </c>
      <c r="M40" s="29" t="n">
        <v>1</v>
      </c>
      <c r="N40" s="31" t="n">
        <v>0</v>
      </c>
      <c r="O40" s="26" t="inlineStr">
        <is>
          <t>月配</t>
        </is>
      </c>
    </row>
    <row r="41" ht="19" customHeight="1">
      <c r="A41" s="20" t="inlineStr">
        <is>
          <t>ETF</t>
        </is>
      </c>
      <c r="B41" s="20" t="inlineStr">
        <is>
          <t>00933B</t>
        </is>
      </c>
      <c r="C41" s="21" t="inlineStr">
        <is>
          <t>國泰10Y+金融債</t>
        </is>
      </c>
      <c r="D41" s="20" t="inlineStr">
        <is>
          <t>2026/08</t>
        </is>
      </c>
      <c r="E41" s="35" t="n">
        <v>0.073</v>
      </c>
      <c r="F41" s="23" t="n">
        <v>0.004699999999999999</v>
      </c>
      <c r="G41" s="23" t="n">
        <v>0.057</v>
      </c>
      <c r="H41" s="35" t="n">
        <v>15.3</v>
      </c>
      <c r="I41" s="21" t="inlineStr">
        <is>
          <t>2026/09/16</t>
        </is>
      </c>
      <c r="J41" s="21" t="inlineStr">
        <is>
          <t>2026/10/15</t>
        </is>
      </c>
      <c r="K41" s="36" t="inlineStr">
        <is>
          <t>已填息 (2天)</t>
        </is>
      </c>
      <c r="L41" s="37" t="n">
        <v>2</v>
      </c>
      <c r="M41" s="23" t="n">
        <v>1</v>
      </c>
      <c r="N41" s="25" t="n">
        <v>0</v>
      </c>
      <c r="O41" s="20" t="inlineStr">
        <is>
          <t>月配</t>
        </is>
      </c>
    </row>
    <row r="42" ht="19" customHeight="1">
      <c r="A42" s="26" t="inlineStr">
        <is>
          <t>ETF</t>
        </is>
      </c>
      <c r="B42" s="26" t="inlineStr">
        <is>
          <t>00933B</t>
        </is>
      </c>
      <c r="C42" s="27" t="inlineStr">
        <is>
          <t>國泰10Y+金融債</t>
        </is>
      </c>
      <c r="D42" s="26" t="inlineStr">
        <is>
          <t>2026/07</t>
        </is>
      </c>
      <c r="E42" s="32" t="n">
        <v>0.073</v>
      </c>
      <c r="F42" s="29" t="n">
        <v>0.004699999999999999</v>
      </c>
      <c r="G42" s="29" t="n">
        <v>0.0562</v>
      </c>
      <c r="H42" s="32" t="n">
        <v>15.75</v>
      </c>
      <c r="I42" s="27" t="inlineStr">
        <is>
          <t>2026/08/18</t>
        </is>
      </c>
      <c r="J42" s="27" t="inlineStr">
        <is>
          <t>2026/09/11</t>
        </is>
      </c>
      <c r="K42" s="38" t="inlineStr">
        <is>
          <t>已填息 (3天)</t>
        </is>
      </c>
      <c r="L42" s="34" t="n">
        <v>3</v>
      </c>
      <c r="M42" s="29" t="n">
        <v>1</v>
      </c>
      <c r="N42" s="31" t="n">
        <v>0</v>
      </c>
      <c r="O42" s="26" t="inlineStr">
        <is>
          <t>月配</t>
        </is>
      </c>
    </row>
    <row r="43" ht="19" customHeight="1">
      <c r="A43" s="20" t="inlineStr">
        <is>
          <t>ETF</t>
        </is>
      </c>
      <c r="B43" s="20" t="inlineStr">
        <is>
          <t>00933B</t>
        </is>
      </c>
      <c r="C43" s="21" t="inlineStr">
        <is>
          <t>國泰10Y+金融債</t>
        </is>
      </c>
      <c r="D43" s="20" t="inlineStr">
        <is>
          <t>2026/06</t>
        </is>
      </c>
      <c r="E43" s="35" t="n">
        <v>0.073</v>
      </c>
      <c r="F43" s="23" t="n">
        <v>0.004500000000000001</v>
      </c>
      <c r="G43" s="23" t="n">
        <v>0.0544</v>
      </c>
      <c r="H43" s="35" t="n">
        <v>16</v>
      </c>
      <c r="I43" s="21" t="inlineStr">
        <is>
          <t>2026/07/16</t>
        </is>
      </c>
      <c r="J43" s="21" t="inlineStr">
        <is>
          <t>2026/08/11</t>
        </is>
      </c>
      <c r="K43" s="36" t="inlineStr">
        <is>
          <t>已填息 (1天)</t>
        </is>
      </c>
      <c r="L43" s="37" t="n">
        <v>1</v>
      </c>
      <c r="M43" s="23" t="n">
        <v>1</v>
      </c>
      <c r="N43" s="25" t="n">
        <v>0</v>
      </c>
      <c r="O43" s="20" t="inlineStr">
        <is>
          <t>月配</t>
        </is>
      </c>
    </row>
    <row r="44" ht="19" customHeight="1">
      <c r="A44" s="26" t="inlineStr">
        <is>
          <t>ETF</t>
        </is>
      </c>
      <c r="B44" s="26" t="inlineStr">
        <is>
          <t>00933B</t>
        </is>
      </c>
      <c r="C44" s="27" t="inlineStr">
        <is>
          <t>國泰10Y+金融債</t>
        </is>
      </c>
      <c r="D44" s="26" t="inlineStr">
        <is>
          <t>2026/05</t>
        </is>
      </c>
      <c r="E44" s="32" t="n">
        <v>0.073</v>
      </c>
      <c r="F44" s="29" t="n">
        <v>0.004500000000000001</v>
      </c>
      <c r="G44" s="29" t="n">
        <v>0.05429999999999999</v>
      </c>
      <c r="H44" s="32" t="n">
        <v>16.15</v>
      </c>
      <c r="I44" s="27" t="inlineStr">
        <is>
          <t>2026/06/16</t>
        </is>
      </c>
      <c r="J44" s="27" t="inlineStr">
        <is>
          <t>2026/07/10</t>
        </is>
      </c>
      <c r="K44" s="38" t="inlineStr">
        <is>
          <t>已填息 (7天)</t>
        </is>
      </c>
      <c r="L44" s="34" t="n">
        <v>7</v>
      </c>
      <c r="M44" s="29" t="n">
        <v>1</v>
      </c>
      <c r="N44" s="31" t="n">
        <v>0</v>
      </c>
      <c r="O44" s="26" t="inlineStr">
        <is>
          <t>月配</t>
        </is>
      </c>
    </row>
    <row r="45" ht="19" customHeight="1">
      <c r="A45" s="20" t="inlineStr">
        <is>
          <t>ETF</t>
        </is>
      </c>
      <c r="B45" s="20" t="inlineStr">
        <is>
          <t>00933B</t>
        </is>
      </c>
      <c r="C45" s="21" t="inlineStr">
        <is>
          <t>國泰10Y+金融債</t>
        </is>
      </c>
      <c r="D45" s="20" t="inlineStr">
        <is>
          <t>2026/04</t>
        </is>
      </c>
      <c r="E45" s="35" t="n">
        <v>0.07199999999999999</v>
      </c>
      <c r="F45" s="23" t="n">
        <v>0.004500000000000001</v>
      </c>
      <c r="G45" s="23" t="n">
        <v>0.0545</v>
      </c>
      <c r="H45" s="35" t="n">
        <v>15.84</v>
      </c>
      <c r="I45" s="21" t="inlineStr">
        <is>
          <t>2026/05/19</t>
        </is>
      </c>
      <c r="J45" s="21" t="inlineStr">
        <is>
          <t>2026/06/12</t>
        </is>
      </c>
      <c r="K45" s="36" t="inlineStr">
        <is>
          <t>已填息 (5天)</t>
        </is>
      </c>
      <c r="L45" s="37" t="n">
        <v>5</v>
      </c>
      <c r="M45" s="23" t="n">
        <v>1</v>
      </c>
      <c r="N45" s="25" t="n">
        <v>0</v>
      </c>
      <c r="O45" s="20" t="inlineStr">
        <is>
          <t>月配</t>
        </is>
      </c>
    </row>
    <row r="46" ht="19" customHeight="1">
      <c r="A46" s="26" t="inlineStr">
        <is>
          <t>ETF</t>
        </is>
      </c>
      <c r="B46" s="26" t="inlineStr">
        <is>
          <t>00933B</t>
        </is>
      </c>
      <c r="C46" s="27" t="inlineStr">
        <is>
          <t>國泰10Y+金融債</t>
        </is>
      </c>
      <c r="D46" s="26" t="inlineStr">
        <is>
          <t>2026/03</t>
        </is>
      </c>
      <c r="E46" s="32" t="n">
        <v>0.07199999999999999</v>
      </c>
      <c r="F46" s="29" t="n">
        <v>0.0044</v>
      </c>
      <c r="G46" s="29" t="n">
        <v>0.0532</v>
      </c>
      <c r="H46" s="32" t="n">
        <v>16.08</v>
      </c>
      <c r="I46" s="27" t="inlineStr">
        <is>
          <t>2026/04/20</t>
        </is>
      </c>
      <c r="J46" s="27" t="inlineStr">
        <is>
          <t>2026/05/15</t>
        </is>
      </c>
      <c r="K46" s="38" t="inlineStr">
        <is>
          <t>已填息 (38天)</t>
        </is>
      </c>
      <c r="L46" s="34" t="n">
        <v>38</v>
      </c>
      <c r="M46" s="29" t="n">
        <v>1</v>
      </c>
      <c r="N46" s="31" t="n">
        <v>0</v>
      </c>
      <c r="O46" s="26" t="inlineStr">
        <is>
          <t>月配</t>
        </is>
      </c>
    </row>
    <row r="47" ht="19" customHeight="1">
      <c r="A47" s="20" t="inlineStr">
        <is>
          <t>ETF</t>
        </is>
      </c>
      <c r="B47" s="20" t="inlineStr">
        <is>
          <t>00933B</t>
        </is>
      </c>
      <c r="C47" s="21" t="inlineStr">
        <is>
          <t>國泰10Y+金融債</t>
        </is>
      </c>
      <c r="D47" s="20" t="inlineStr">
        <is>
          <t>2026/02</t>
        </is>
      </c>
      <c r="E47" s="35" t="n">
        <v>0.07199999999999999</v>
      </c>
      <c r="F47" s="23" t="n">
        <v>0.0044</v>
      </c>
      <c r="G47" s="23" t="n">
        <v>0.0533</v>
      </c>
      <c r="H47" s="35" t="n">
        <v>16.14</v>
      </c>
      <c r="I47" s="21" t="inlineStr">
        <is>
          <t>2026/03/17</t>
        </is>
      </c>
      <c r="J47" s="21" t="inlineStr">
        <is>
          <t>2026/04/14</t>
        </is>
      </c>
      <c r="K47" s="36" t="inlineStr">
        <is>
          <t>已填息 (2天)</t>
        </is>
      </c>
      <c r="L47" s="37" t="n">
        <v>2</v>
      </c>
      <c r="M47" s="23" t="n">
        <v>1</v>
      </c>
      <c r="N47" s="25" t="n">
        <v>0</v>
      </c>
      <c r="O47" s="20" t="inlineStr">
        <is>
          <t>月配</t>
        </is>
      </c>
    </row>
    <row r="48" ht="19" customHeight="1">
      <c r="A48" s="26" t="inlineStr">
        <is>
          <t>ETF</t>
        </is>
      </c>
      <c r="B48" s="26" t="inlineStr">
        <is>
          <t>00933B</t>
        </is>
      </c>
      <c r="C48" s="27" t="inlineStr">
        <is>
          <t>國泰10Y+金融債</t>
        </is>
      </c>
      <c r="D48" s="26" t="inlineStr">
        <is>
          <t>2026/01</t>
        </is>
      </c>
      <c r="E48" s="32" t="n">
        <v>0.07199999999999999</v>
      </c>
      <c r="F48" s="29" t="n">
        <v>0.0044</v>
      </c>
      <c r="G48" s="29" t="n">
        <v>0.0522</v>
      </c>
      <c r="H48" s="32" t="n">
        <v>16.5</v>
      </c>
      <c r="I48" s="27" t="inlineStr">
        <is>
          <t>2026/02/26</t>
        </is>
      </c>
      <c r="J48" s="27" t="inlineStr">
        <is>
          <t>2026/03/23</t>
        </is>
      </c>
      <c r="K48" s="33" t="inlineStr">
        <is>
          <t>尚未填息 (貼息中)</t>
        </is>
      </c>
      <c r="L48" s="34" t="n">
        <v/>
      </c>
      <c r="M48" s="29" t="n">
        <v>1</v>
      </c>
      <c r="N48" s="31" t="n">
        <v>0</v>
      </c>
      <c r="O48" s="26" t="inlineStr">
        <is>
          <t>月配</t>
        </is>
      </c>
    </row>
    <row r="49" ht="19" customHeight="1">
      <c r="A49" s="20" t="inlineStr">
        <is>
          <t>ETF</t>
        </is>
      </c>
      <c r="B49" s="20" t="inlineStr">
        <is>
          <t>00933B</t>
        </is>
      </c>
      <c r="C49" s="21" t="inlineStr">
        <is>
          <t>國泰10Y+金融債</t>
        </is>
      </c>
      <c r="D49" s="20" t="inlineStr">
        <is>
          <t>2025/12</t>
        </is>
      </c>
      <c r="E49" s="35" t="n">
        <v>0.07199999999999999</v>
      </c>
      <c r="F49" s="23" t="n">
        <v>0.0044</v>
      </c>
      <c r="G49" s="23" t="n">
        <v>0.05230000000000001</v>
      </c>
      <c r="H49" s="35" t="n">
        <v>16.59</v>
      </c>
      <c r="I49" s="21" t="inlineStr">
        <is>
          <t>2026/01/20</t>
        </is>
      </c>
      <c r="J49" s="21" t="inlineStr">
        <is>
          <t>2026/02/12</t>
        </is>
      </c>
      <c r="K49" s="39" t="inlineStr">
        <is>
          <t>尚未填息 (貼息中)</t>
        </is>
      </c>
      <c r="L49" s="37" t="n">
        <v/>
      </c>
      <c r="M49" s="23" t="n">
        <v>1</v>
      </c>
      <c r="N49" s="25" t="n">
        <v>0</v>
      </c>
      <c r="O49" s="20" t="inlineStr">
        <is>
          <t>月配</t>
        </is>
      </c>
    </row>
    <row r="50" ht="19" customHeight="1">
      <c r="A50" s="26" t="inlineStr">
        <is>
          <t>ETF</t>
        </is>
      </c>
      <c r="B50" s="26" t="inlineStr">
        <is>
          <t>00725B</t>
        </is>
      </c>
      <c r="C50" s="27" t="inlineStr">
        <is>
          <t>國泰投資級公司債</t>
        </is>
      </c>
      <c r="D50" s="26" t="inlineStr">
        <is>
          <t>2026/09</t>
        </is>
      </c>
      <c r="E50" s="32" t="n">
        <v>0.49</v>
      </c>
      <c r="F50" s="29" t="n">
        <v>0.0145</v>
      </c>
      <c r="G50" s="29" t="n">
        <v>0.0579</v>
      </c>
      <c r="H50" s="32" t="n">
        <v>34.05</v>
      </c>
      <c r="I50" s="27" t="inlineStr">
        <is>
          <t>2026/10/19</t>
        </is>
      </c>
      <c r="J50" s="27" t="inlineStr">
        <is>
          <t>2026/11/12</t>
        </is>
      </c>
      <c r="K50" s="33" t="inlineStr">
        <is>
          <t>尚未填息 (貼息中)</t>
        </is>
      </c>
      <c r="L50" s="34" t="n">
        <v/>
      </c>
      <c r="M50" s="29" t="n">
        <v>1</v>
      </c>
      <c r="N50" s="31" t="n">
        <v>0</v>
      </c>
      <c r="O50" s="26" t="inlineStr">
        <is>
          <t>季配</t>
        </is>
      </c>
    </row>
    <row r="51" ht="19" customHeight="1">
      <c r="A51" s="20" t="inlineStr">
        <is>
          <t>ETF</t>
        </is>
      </c>
      <c r="B51" s="20" t="inlineStr">
        <is>
          <t>00725B</t>
        </is>
      </c>
      <c r="C51" s="21" t="inlineStr">
        <is>
          <t>國泰投資級公司債</t>
        </is>
      </c>
      <c r="D51" s="20" t="inlineStr">
        <is>
          <t>2026/06</t>
        </is>
      </c>
      <c r="E51" s="35" t="n">
        <v>0.49</v>
      </c>
      <c r="F51" s="23" t="n">
        <v>0.0139</v>
      </c>
      <c r="G51" s="23" t="n">
        <v>0.0554</v>
      </c>
      <c r="H51" s="35" t="n">
        <v>35.19</v>
      </c>
      <c r="I51" s="21" t="inlineStr">
        <is>
          <t>2026/07/16</t>
        </is>
      </c>
      <c r="J51" s="21" t="inlineStr">
        <is>
          <t>2026/08/11</t>
        </is>
      </c>
      <c r="K51" s="39" t="inlineStr">
        <is>
          <t>尚未填息 (貼息中)</t>
        </is>
      </c>
      <c r="L51" s="37" t="n">
        <v/>
      </c>
      <c r="M51" s="23" t="n">
        <v>1</v>
      </c>
      <c r="N51" s="25" t="n">
        <v>0</v>
      </c>
      <c r="O51" s="20" t="inlineStr">
        <is>
          <t>季配</t>
        </is>
      </c>
    </row>
    <row r="52" ht="19" customHeight="1">
      <c r="A52" s="26" t="inlineStr">
        <is>
          <t>ETF</t>
        </is>
      </c>
      <c r="B52" s="26" t="inlineStr">
        <is>
          <t>00725B</t>
        </is>
      </c>
      <c r="C52" s="27" t="inlineStr">
        <is>
          <t>國泰投資級公司債</t>
        </is>
      </c>
      <c r="D52" s="26" t="inlineStr">
        <is>
          <t>2026/03</t>
        </is>
      </c>
      <c r="E52" s="32" t="n">
        <v>0.49</v>
      </c>
      <c r="F52" s="29" t="n">
        <v>0.0137</v>
      </c>
      <c r="G52" s="29" t="n">
        <v>0.0547</v>
      </c>
      <c r="H52" s="32" t="n">
        <v>35.47</v>
      </c>
      <c r="I52" s="27" t="inlineStr">
        <is>
          <t>2026/04/20</t>
        </is>
      </c>
      <c r="J52" s="27" t="inlineStr">
        <is>
          <t>2026/05/15</t>
        </is>
      </c>
      <c r="K52" s="38" t="inlineStr">
        <is>
          <t>已填息 (38天)</t>
        </is>
      </c>
      <c r="L52" s="34" t="n">
        <v>38</v>
      </c>
      <c r="M52" s="29" t="n">
        <v>1</v>
      </c>
      <c r="N52" s="31" t="n">
        <v>0</v>
      </c>
      <c r="O52" s="26" t="inlineStr">
        <is>
          <t>季配</t>
        </is>
      </c>
    </row>
    <row r="53" ht="19" customHeight="1">
      <c r="A53" s="20" t="inlineStr">
        <is>
          <t>ETF</t>
        </is>
      </c>
      <c r="B53" s="20" t="inlineStr">
        <is>
          <t>00725B</t>
        </is>
      </c>
      <c r="C53" s="21" t="inlineStr">
        <is>
          <t>國泰投資級公司債</t>
        </is>
      </c>
      <c r="D53" s="20" t="inlineStr">
        <is>
          <t>2025/12</t>
        </is>
      </c>
      <c r="E53" s="35" t="n">
        <v>0.49</v>
      </c>
      <c r="F53" s="23" t="n">
        <v>0.0136</v>
      </c>
      <c r="G53" s="23" t="n">
        <v>0.05429999999999999</v>
      </c>
      <c r="H53" s="35" t="n">
        <v>36.2</v>
      </c>
      <c r="I53" s="21" t="inlineStr">
        <is>
          <t>2026/01/20</t>
        </is>
      </c>
      <c r="J53" s="21" t="inlineStr">
        <is>
          <t>2026/02/12</t>
        </is>
      </c>
      <c r="K53" s="39" t="inlineStr">
        <is>
          <t>尚未填息 (貼息中)</t>
        </is>
      </c>
      <c r="L53" s="37" t="n">
        <v/>
      </c>
      <c r="M53" s="23" t="n">
        <v>1</v>
      </c>
      <c r="N53" s="25" t="n">
        <v>0</v>
      </c>
      <c r="O53" s="20" t="inlineStr">
        <is>
          <t>季配</t>
        </is>
      </c>
    </row>
    <row r="54" ht="19" customHeight="1">
      <c r="A54" s="26" t="inlineStr">
        <is>
          <t>ETF</t>
        </is>
      </c>
      <c r="B54" s="26" t="inlineStr">
        <is>
          <t>00725B</t>
        </is>
      </c>
      <c r="C54" s="27" t="inlineStr">
        <is>
          <t>國泰投資級公司債</t>
        </is>
      </c>
      <c r="D54" s="26" t="inlineStr">
        <is>
          <t>2025/09</t>
        </is>
      </c>
      <c r="E54" s="32" t="n">
        <v>0.534</v>
      </c>
      <c r="F54" s="29" t="n">
        <v>0.0148</v>
      </c>
      <c r="G54" s="29" t="n">
        <v>0.0591</v>
      </c>
      <c r="H54" s="32" t="n">
        <v>36.34</v>
      </c>
      <c r="I54" s="27" t="inlineStr">
        <is>
          <t>2025/10/20</t>
        </is>
      </c>
      <c r="J54" s="27" t="inlineStr">
        <is>
          <t>2025/11/13</t>
        </is>
      </c>
      <c r="K54" s="33" t="inlineStr">
        <is>
          <t>尚未填息 (貼息中)</t>
        </is>
      </c>
      <c r="L54" s="34" t="n">
        <v/>
      </c>
      <c r="M54" s="29" t="n">
        <v>1</v>
      </c>
      <c r="N54" s="31" t="n">
        <v>0</v>
      </c>
      <c r="O54" s="26" t="inlineStr">
        <is>
          <t>季配</t>
        </is>
      </c>
    </row>
    <row r="55" ht="19" customHeight="1">
      <c r="A55" s="20" t="inlineStr">
        <is>
          <t>ETF</t>
        </is>
      </c>
      <c r="B55" s="20" t="inlineStr">
        <is>
          <t>00725B</t>
        </is>
      </c>
      <c r="C55" s="21" t="inlineStr">
        <is>
          <t>國泰投資級公司債</t>
        </is>
      </c>
      <c r="D55" s="20" t="inlineStr">
        <is>
          <t>2025/06</t>
        </is>
      </c>
      <c r="E55" s="35" t="n">
        <v>0.5659999999999999</v>
      </c>
      <c r="F55" s="23" t="n">
        <v>0.0173</v>
      </c>
      <c r="G55" s="23" t="n">
        <v>0.06909999999999999</v>
      </c>
      <c r="H55" s="35" t="n">
        <v>32.95</v>
      </c>
      <c r="I55" s="21" t="inlineStr">
        <is>
          <t>2025/07/16</t>
        </is>
      </c>
      <c r="J55" s="21" t="inlineStr">
        <is>
          <t>2025/08/11</t>
        </is>
      </c>
      <c r="K55" s="36" t="inlineStr">
        <is>
          <t>已填息 (10天)</t>
        </is>
      </c>
      <c r="L55" s="37" t="n">
        <v>10</v>
      </c>
      <c r="M55" s="23" t="n">
        <v>1</v>
      </c>
      <c r="N55" s="25" t="n">
        <v>0</v>
      </c>
      <c r="O55" s="20" t="inlineStr">
        <is>
          <t>季配</t>
        </is>
      </c>
    </row>
    <row r="56" ht="19" customHeight="1">
      <c r="A56" s="26" t="inlineStr">
        <is>
          <t>ETF</t>
        </is>
      </c>
      <c r="B56" s="26" t="inlineStr">
        <is>
          <t>00725B</t>
        </is>
      </c>
      <c r="C56" s="27" t="inlineStr">
        <is>
          <t>國泰投資級公司債</t>
        </is>
      </c>
      <c r="D56" s="26" t="inlineStr">
        <is>
          <t>2025/03</t>
        </is>
      </c>
      <c r="E56" s="32" t="n">
        <v>0.636</v>
      </c>
      <c r="F56" s="29" t="n">
        <v>0.0177</v>
      </c>
      <c r="G56" s="29" t="n">
        <v>0.0708</v>
      </c>
      <c r="H56" s="32" t="n">
        <v>36.06</v>
      </c>
      <c r="I56" s="27" t="inlineStr">
        <is>
          <t>2025/04/21</t>
        </is>
      </c>
      <c r="J56" s="27" t="inlineStr">
        <is>
          <t>2025/05/15</t>
        </is>
      </c>
      <c r="K56" s="38" t="inlineStr">
        <is>
          <t>已填息 (119天)</t>
        </is>
      </c>
      <c r="L56" s="34" t="n">
        <v>119</v>
      </c>
      <c r="M56" s="29" t="n">
        <v>1</v>
      </c>
      <c r="N56" s="31" t="n">
        <v>0</v>
      </c>
      <c r="O56" s="26" t="inlineStr">
        <is>
          <t>季配</t>
        </is>
      </c>
    </row>
    <row r="57" ht="19" customHeight="1">
      <c r="A57" s="20" t="inlineStr">
        <is>
          <t>ETF</t>
        </is>
      </c>
      <c r="B57" s="20" t="inlineStr">
        <is>
          <t>00725B</t>
        </is>
      </c>
      <c r="C57" s="21" t="inlineStr">
        <is>
          <t>國泰投資級公司債</t>
        </is>
      </c>
      <c r="D57" s="20" t="inlineStr">
        <is>
          <t>2024/12</t>
        </is>
      </c>
      <c r="E57" s="35" t="n">
        <v>0.662</v>
      </c>
      <c r="F57" s="23" t="n">
        <v>0.0177</v>
      </c>
      <c r="G57" s="23" t="n">
        <v>0.0706</v>
      </c>
      <c r="H57" s="35" t="n">
        <v>37.43</v>
      </c>
      <c r="I57" s="21" t="inlineStr">
        <is>
          <t>2025/01/17</t>
        </is>
      </c>
      <c r="J57" s="21" t="inlineStr">
        <is>
          <t>2025/02/18</t>
        </is>
      </c>
      <c r="K57" s="36" t="inlineStr">
        <is>
          <t>已填息 (4天)</t>
        </is>
      </c>
      <c r="L57" s="37" t="n">
        <v>4</v>
      </c>
      <c r="M57" s="23" t="n">
        <v>1</v>
      </c>
      <c r="N57" s="25" t="n">
        <v>0</v>
      </c>
      <c r="O57" s="20" t="inlineStr">
        <is>
          <t>季配</t>
        </is>
      </c>
    </row>
    <row r="58" ht="19" customHeight="1">
      <c r="A58" s="26" t="inlineStr">
        <is>
          <t>ETF</t>
        </is>
      </c>
      <c r="B58" s="26" t="inlineStr">
        <is>
          <t>00725B</t>
        </is>
      </c>
      <c r="C58" s="27" t="inlineStr">
        <is>
          <t>國泰投資級公司債</t>
        </is>
      </c>
      <c r="D58" s="26" t="inlineStr">
        <is>
          <t>2024/09</t>
        </is>
      </c>
      <c r="E58" s="32" t="n">
        <v>0.6850000000000001</v>
      </c>
      <c r="F58" s="29" t="n">
        <v>0.0175</v>
      </c>
      <c r="G58" s="29" t="n">
        <v>0.0701</v>
      </c>
      <c r="H58" s="32" t="n">
        <v/>
      </c>
      <c r="I58" s="27" t="inlineStr">
        <is>
          <t>2024/10/17</t>
        </is>
      </c>
      <c r="J58" s="27" t="inlineStr">
        <is>
          <t>2024/11/12</t>
        </is>
      </c>
      <c r="K58" s="26" t="inlineStr">
        <is>
          <t>資料不足</t>
        </is>
      </c>
      <c r="L58" s="34" t="n">
        <v/>
      </c>
      <c r="M58" s="29" t="n">
        <v>1</v>
      </c>
      <c r="N58" s="31" t="n">
        <v>0</v>
      </c>
      <c r="O58" s="26" t="inlineStr">
        <is>
          <t>季配</t>
        </is>
      </c>
    </row>
    <row r="59" ht="19" customHeight="1">
      <c r="A59" s="20" t="inlineStr">
        <is>
          <t>ETF</t>
        </is>
      </c>
      <c r="B59" s="20" t="inlineStr">
        <is>
          <t>00725B</t>
        </is>
      </c>
      <c r="C59" s="21" t="inlineStr">
        <is>
          <t>國泰投資級公司債</t>
        </is>
      </c>
      <c r="D59" s="20" t="inlineStr">
        <is>
          <t>2024/06</t>
        </is>
      </c>
      <c r="E59" s="35" t="n">
        <v>0.658</v>
      </c>
      <c r="F59" s="23" t="n">
        <v>0.0171</v>
      </c>
      <c r="G59" s="23" t="n">
        <v>0.0683</v>
      </c>
      <c r="H59" s="35" t="n">
        <v/>
      </c>
      <c r="I59" s="21" t="inlineStr">
        <is>
          <t>2024/07/16</t>
        </is>
      </c>
      <c r="J59" s="21" t="inlineStr">
        <is>
          <t>2024/08/09</t>
        </is>
      </c>
      <c r="K59" s="20" t="inlineStr">
        <is>
          <t>資料不足</t>
        </is>
      </c>
      <c r="L59" s="37" t="n">
        <v/>
      </c>
      <c r="M59" s="23" t="n">
        <v>1</v>
      </c>
      <c r="N59" s="25" t="n">
        <v>0</v>
      </c>
      <c r="O59" s="20" t="inlineStr">
        <is>
          <t>季配</t>
        </is>
      </c>
    </row>
    <row r="60" ht="19" customHeight="1">
      <c r="A60" s="26" t="inlineStr">
        <is>
          <t>ETF</t>
        </is>
      </c>
      <c r="B60" s="26" t="inlineStr">
        <is>
          <t>00881</t>
        </is>
      </c>
      <c r="C60" s="27" t="inlineStr">
        <is>
          <t>國泰台灣科技龍頭</t>
        </is>
      </c>
      <c r="D60" s="26" t="inlineStr">
        <is>
          <t>2026/07</t>
        </is>
      </c>
      <c r="E60" s="32" t="n">
        <v>4.6</v>
      </c>
      <c r="F60" s="29" t="n">
        <v>0.0842</v>
      </c>
      <c r="G60" s="29" t="n">
        <v>0.1683</v>
      </c>
      <c r="H60" s="32" t="n">
        <v>55.15</v>
      </c>
      <c r="I60" s="27" t="inlineStr">
        <is>
          <t>2026/08/18</t>
        </is>
      </c>
      <c r="J60" s="27" t="inlineStr">
        <is>
          <t>2026/09/11</t>
        </is>
      </c>
      <c r="K60" s="33" t="inlineStr">
        <is>
          <t>尚未填息 (貼息中)</t>
        </is>
      </c>
      <c r="L60" s="34" t="n">
        <v/>
      </c>
      <c r="M60" s="29" t="n">
        <v>1</v>
      </c>
      <c r="N60" s="31" t="n">
        <v>0</v>
      </c>
      <c r="O60" s="26" t="inlineStr">
        <is>
          <t>每年2次</t>
        </is>
      </c>
    </row>
    <row r="61" ht="19" customHeight="1">
      <c r="A61" s="20" t="inlineStr">
        <is>
          <t>ETF</t>
        </is>
      </c>
      <c r="B61" s="20" t="inlineStr">
        <is>
          <t>00881</t>
        </is>
      </c>
      <c r="C61" s="21" t="inlineStr">
        <is>
          <t>國泰台灣科技龍頭</t>
        </is>
      </c>
      <c r="D61" s="20" t="inlineStr">
        <is>
          <t>2025/12</t>
        </is>
      </c>
      <c r="E61" s="35" t="n">
        <v>2.65</v>
      </c>
      <c r="F61" s="23" t="n">
        <v>0.0742</v>
      </c>
      <c r="G61" s="23" t="n">
        <v>0.1484</v>
      </c>
      <c r="H61" s="35" t="n">
        <v>35.87</v>
      </c>
      <c r="I61" s="21" t="inlineStr">
        <is>
          <t>2026/01/20</t>
        </is>
      </c>
      <c r="J61" s="21" t="inlineStr">
        <is>
          <t>2026/02/12</t>
        </is>
      </c>
      <c r="K61" s="36" t="inlineStr">
        <is>
          <t>已填息 (17天)</t>
        </is>
      </c>
      <c r="L61" s="37" t="n">
        <v>17</v>
      </c>
      <c r="M61" s="23" t="n">
        <v>1</v>
      </c>
      <c r="N61" s="25" t="n">
        <v>0</v>
      </c>
      <c r="O61" s="20" t="inlineStr">
        <is>
          <t>每年2次</t>
        </is>
      </c>
    </row>
    <row r="62" ht="19" customHeight="1">
      <c r="A62" s="26" t="inlineStr">
        <is>
          <t>ETF</t>
        </is>
      </c>
      <c r="B62" s="26" t="inlineStr">
        <is>
          <t>00881</t>
        </is>
      </c>
      <c r="C62" s="27" t="inlineStr">
        <is>
          <t>國泰台灣科技龍頭</t>
        </is>
      </c>
      <c r="D62" s="26" t="inlineStr">
        <is>
          <t>2025/07</t>
        </is>
      </c>
      <c r="E62" s="32" t="n">
        <v>0.55</v>
      </c>
      <c r="F62" s="29" t="n">
        <v>0.02</v>
      </c>
      <c r="G62" s="29" t="n">
        <v>0.04</v>
      </c>
      <c r="H62" s="32" t="n">
        <v>27.59</v>
      </c>
      <c r="I62" s="27" t="inlineStr">
        <is>
          <t>2025/08/18</t>
        </is>
      </c>
      <c r="J62" s="27" t="inlineStr">
        <is>
          <t>2025/09/11</t>
        </is>
      </c>
      <c r="K62" s="38" t="inlineStr">
        <is>
          <t>已填息 (17天)</t>
        </is>
      </c>
      <c r="L62" s="34" t="n">
        <v>17</v>
      </c>
      <c r="M62" s="29" t="n">
        <v>1</v>
      </c>
      <c r="N62" s="31" t="n">
        <v>0</v>
      </c>
      <c r="O62" s="26" t="inlineStr">
        <is>
          <t>每年2次</t>
        </is>
      </c>
    </row>
    <row r="63" ht="19" customHeight="1">
      <c r="A63" s="20" t="inlineStr">
        <is>
          <t>ETF</t>
        </is>
      </c>
      <c r="B63" s="20" t="inlineStr">
        <is>
          <t>00881</t>
        </is>
      </c>
      <c r="C63" s="21" t="inlineStr">
        <is>
          <t>國泰台灣科技龍頭</t>
        </is>
      </c>
      <c r="D63" s="20" t="inlineStr">
        <is>
          <t>2024/12</t>
        </is>
      </c>
      <c r="E63" s="35" t="n">
        <v>0.75</v>
      </c>
      <c r="F63" s="23" t="n">
        <v>0.0305</v>
      </c>
      <c r="G63" s="23" t="n">
        <v>0.0609</v>
      </c>
      <c r="H63" s="35" t="n">
        <v>24.61</v>
      </c>
      <c r="I63" s="21" t="inlineStr">
        <is>
          <t>2025/01/17</t>
        </is>
      </c>
      <c r="J63" s="21" t="inlineStr">
        <is>
          <t>2025/02/18</t>
        </is>
      </c>
      <c r="K63" s="36" t="inlineStr">
        <is>
          <t>已填息 (113天)</t>
        </is>
      </c>
      <c r="L63" s="37" t="n">
        <v>113</v>
      </c>
      <c r="M63" s="23" t="n">
        <v>1</v>
      </c>
      <c r="N63" s="25" t="n">
        <v>0</v>
      </c>
      <c r="O63" s="20" t="inlineStr">
        <is>
          <t>每年2次</t>
        </is>
      </c>
    </row>
    <row r="64" ht="19" customHeight="1">
      <c r="A64" s="26" t="inlineStr">
        <is>
          <t>ETF</t>
        </is>
      </c>
      <c r="B64" s="26" t="inlineStr">
        <is>
          <t>00881</t>
        </is>
      </c>
      <c r="C64" s="27" t="inlineStr">
        <is>
          <t>國泰台灣科技龍頭</t>
        </is>
      </c>
      <c r="D64" s="26" t="inlineStr">
        <is>
          <t>2024/07</t>
        </is>
      </c>
      <c r="E64" s="32" t="n">
        <v>1</v>
      </c>
      <c r="F64" s="29" t="n">
        <v>0.042</v>
      </c>
      <c r="G64" s="29" t="n">
        <v>0.08400000000000001</v>
      </c>
      <c r="H64" s="32" t="n">
        <v/>
      </c>
      <c r="I64" s="27" t="inlineStr">
        <is>
          <t>2024/08/16</t>
        </is>
      </c>
      <c r="J64" s="27" t="inlineStr">
        <is>
          <t>2024/09/11</t>
        </is>
      </c>
      <c r="K64" s="26" t="inlineStr">
        <is>
          <t>資料不足</t>
        </is>
      </c>
      <c r="L64" s="34" t="n">
        <v/>
      </c>
      <c r="M64" s="29" t="n">
        <v>1</v>
      </c>
      <c r="N64" s="31" t="n">
        <v>0</v>
      </c>
      <c r="O64" s="26" t="inlineStr">
        <is>
          <t>每年2次</t>
        </is>
      </c>
    </row>
    <row r="65" ht="19" customHeight="1">
      <c r="A65" s="20" t="inlineStr">
        <is>
          <t>ETF</t>
        </is>
      </c>
      <c r="B65" s="20" t="inlineStr">
        <is>
          <t>00881</t>
        </is>
      </c>
      <c r="C65" s="21" t="inlineStr">
        <is>
          <t>國泰台灣科技龍頭</t>
        </is>
      </c>
      <c r="D65" s="20" t="inlineStr">
        <is>
          <t>2023/12</t>
        </is>
      </c>
      <c r="E65" s="35" t="n">
        <v>0.75</v>
      </c>
      <c r="F65" s="23" t="n">
        <v>0.04190000000000001</v>
      </c>
      <c r="G65" s="23" t="n">
        <v>0.0839</v>
      </c>
      <c r="H65" s="35" t="n">
        <v/>
      </c>
      <c r="I65" s="21" t="inlineStr">
        <is>
          <t>2024/01/17</t>
        </is>
      </c>
      <c r="J65" s="21" t="inlineStr">
        <is>
          <t>2024/02/17</t>
        </is>
      </c>
      <c r="K65" s="20" t="inlineStr">
        <is>
          <t>資料不足</t>
        </is>
      </c>
      <c r="L65" s="37" t="n">
        <v/>
      </c>
      <c r="M65" s="23" t="n">
        <v>1</v>
      </c>
      <c r="N65" s="25" t="n">
        <v>0</v>
      </c>
      <c r="O65" s="20" t="inlineStr">
        <is>
          <t>每年2次</t>
        </is>
      </c>
    </row>
    <row r="66" ht="19" customHeight="1">
      <c r="A66" s="26" t="inlineStr">
        <is>
          <t>ETF</t>
        </is>
      </c>
      <c r="B66" s="26" t="inlineStr">
        <is>
          <t>00881</t>
        </is>
      </c>
      <c r="C66" s="27" t="inlineStr">
        <is>
          <t>國泰台灣科技龍頭</t>
        </is>
      </c>
      <c r="D66" s="26" t="inlineStr">
        <is>
          <t>2023/07</t>
        </is>
      </c>
      <c r="E66" s="32" t="n">
        <v>0.46</v>
      </c>
      <c r="F66" s="29" t="n">
        <v>0.0266</v>
      </c>
      <c r="G66" s="29" t="n">
        <v>0.0532</v>
      </c>
      <c r="H66" s="32" t="n">
        <v/>
      </c>
      <c r="I66" s="27" t="inlineStr">
        <is>
          <t>2023/08/16</t>
        </is>
      </c>
      <c r="J66" s="27" t="inlineStr">
        <is>
          <t>2023/09/11</t>
        </is>
      </c>
      <c r="K66" s="26" t="inlineStr">
        <is>
          <t>資料不足</t>
        </is>
      </c>
      <c r="L66" s="34" t="n">
        <v/>
      </c>
      <c r="M66" s="29" t="n">
        <v>1</v>
      </c>
      <c r="N66" s="31" t="n">
        <v>0</v>
      </c>
      <c r="O66" s="26" t="inlineStr">
        <is>
          <t>每年2次</t>
        </is>
      </c>
    </row>
    <row r="67" ht="19" customHeight="1">
      <c r="A67" s="20" t="inlineStr">
        <is>
          <t>ETF</t>
        </is>
      </c>
      <c r="B67" s="20" t="inlineStr">
        <is>
          <t>00881</t>
        </is>
      </c>
      <c r="C67" s="21" t="inlineStr">
        <is>
          <t>國泰台灣科技龍頭</t>
        </is>
      </c>
      <c r="D67" s="20" t="inlineStr">
        <is>
          <t>2022/12</t>
        </is>
      </c>
      <c r="E67" s="35" t="n">
        <v>0.35</v>
      </c>
      <c r="F67" s="23" t="n">
        <v>0.0242</v>
      </c>
      <c r="G67" s="23" t="n">
        <v>0.0483</v>
      </c>
      <c r="H67" s="35" t="n">
        <v/>
      </c>
      <c r="I67" s="21" t="inlineStr">
        <is>
          <t>2023/01/30</t>
        </is>
      </c>
      <c r="J67" s="21" t="inlineStr">
        <is>
          <t>2023/03/02</t>
        </is>
      </c>
      <c r="K67" s="20" t="inlineStr">
        <is>
          <t>資料不足</t>
        </is>
      </c>
      <c r="L67" s="37" t="n">
        <v/>
      </c>
      <c r="M67" s="23" t="n">
        <v>1</v>
      </c>
      <c r="N67" s="25" t="n">
        <v>0</v>
      </c>
      <c r="O67" s="20" t="inlineStr">
        <is>
          <t>每年2次</t>
        </is>
      </c>
    </row>
    <row r="68" ht="19" customHeight="1">
      <c r="A68" s="26" t="inlineStr">
        <is>
          <t>ETF</t>
        </is>
      </c>
      <c r="B68" s="26" t="inlineStr">
        <is>
          <t>00881</t>
        </is>
      </c>
      <c r="C68" s="27" t="inlineStr">
        <is>
          <t>國泰台灣科技龍頭</t>
        </is>
      </c>
      <c r="D68" s="26" t="inlineStr">
        <is>
          <t>2022/07</t>
        </is>
      </c>
      <c r="E68" s="32" t="n">
        <v>0.26</v>
      </c>
      <c r="F68" s="29" t="n">
        <v>0.0171</v>
      </c>
      <c r="G68" s="29" t="n">
        <v>0.0341</v>
      </c>
      <c r="H68" s="32" t="n">
        <v/>
      </c>
      <c r="I68" s="27" t="inlineStr">
        <is>
          <t>2022/08/16</t>
        </is>
      </c>
      <c r="J68" s="27" t="inlineStr">
        <is>
          <t>2022/09/19</t>
        </is>
      </c>
      <c r="K68" s="26" t="inlineStr">
        <is>
          <t>資料不足</t>
        </is>
      </c>
      <c r="L68" s="34" t="n">
        <v/>
      </c>
      <c r="M68" s="29" t="n">
        <v>1</v>
      </c>
      <c r="N68" s="31" t="n">
        <v>0</v>
      </c>
      <c r="O68" s="26" t="inlineStr">
        <is>
          <t>每年2次</t>
        </is>
      </c>
    </row>
    <row r="69" ht="19" customHeight="1">
      <c r="A69" s="20" t="inlineStr">
        <is>
          <t>ETF</t>
        </is>
      </c>
      <c r="B69" s="20" t="inlineStr">
        <is>
          <t>00881</t>
        </is>
      </c>
      <c r="C69" s="21" t="inlineStr">
        <is>
          <t>國泰台灣科技龍頭</t>
        </is>
      </c>
      <c r="D69" s="20" t="inlineStr">
        <is>
          <t>2021/12</t>
        </is>
      </c>
      <c r="E69" s="35" t="n">
        <v>0.59</v>
      </c>
      <c r="F69" s="23" t="n">
        <v>0.031</v>
      </c>
      <c r="G69" s="23" t="n">
        <v>0.062</v>
      </c>
      <c r="H69" s="35" t="n">
        <v/>
      </c>
      <c r="I69" s="21" t="inlineStr">
        <is>
          <t>2022/01/18</t>
        </is>
      </c>
      <c r="J69" s="21" t="inlineStr">
        <is>
          <t>2022/02/25</t>
        </is>
      </c>
      <c r="K69" s="20" t="inlineStr">
        <is>
          <t>資料不足</t>
        </is>
      </c>
      <c r="L69" s="37" t="n">
        <v/>
      </c>
      <c r="M69" s="23" t="n">
        <v>1</v>
      </c>
      <c r="N69" s="25" t="n">
        <v>0</v>
      </c>
      <c r="O69" s="20" t="inlineStr">
        <is>
          <t>每年2次</t>
        </is>
      </c>
    </row>
    <row r="70" ht="19" customHeight="1">
      <c r="A70" s="26" t="inlineStr">
        <is>
          <t>ETF</t>
        </is>
      </c>
      <c r="B70" s="26" t="inlineStr">
        <is>
          <t>00922</t>
        </is>
      </c>
      <c r="C70" s="27" t="inlineStr">
        <is>
          <t>國泰台灣領袖50</t>
        </is>
      </c>
      <c r="D70" s="26" t="inlineStr">
        <is>
          <t>2026/09</t>
        </is>
      </c>
      <c r="E70" s="32" t="n">
        <v>2.1</v>
      </c>
      <c r="F70" s="29" t="n">
        <v>0.04969999999999999</v>
      </c>
      <c r="G70" s="29" t="n">
        <v>0.09939999999999999</v>
      </c>
      <c r="H70" s="32" t="n">
        <v>42.48</v>
      </c>
      <c r="I70" s="27" t="inlineStr">
        <is>
          <t>2026/10/19</t>
        </is>
      </c>
      <c r="J70" s="27" t="inlineStr">
        <is>
          <t>2026/11/12</t>
        </is>
      </c>
      <c r="K70" s="33" t="inlineStr">
        <is>
          <t>尚未填息 (貼息中)</t>
        </is>
      </c>
      <c r="L70" s="34" t="n">
        <v/>
      </c>
      <c r="M70" s="29" t="n">
        <v>1</v>
      </c>
      <c r="N70" s="31" t="n">
        <v>0</v>
      </c>
      <c r="O70" s="26" t="inlineStr">
        <is>
          <t>每年2次</t>
        </is>
      </c>
    </row>
    <row r="71" ht="19" customHeight="1">
      <c r="A71" s="20" t="inlineStr">
        <is>
          <t>ETF</t>
        </is>
      </c>
      <c r="B71" s="20" t="inlineStr">
        <is>
          <t>00922</t>
        </is>
      </c>
      <c r="C71" s="21" t="inlineStr">
        <is>
          <t>國泰台灣領袖50</t>
        </is>
      </c>
      <c r="D71" s="20" t="inlineStr">
        <is>
          <t>2026/02</t>
        </is>
      </c>
      <c r="E71" s="35" t="n">
        <v>2</v>
      </c>
      <c r="F71" s="23" t="n">
        <v>0.067</v>
      </c>
      <c r="G71" s="23" t="n">
        <v>0.1341</v>
      </c>
      <c r="H71" s="35" t="n">
        <v>30.81</v>
      </c>
      <c r="I71" s="21" t="inlineStr">
        <is>
          <t>2026/03/17</t>
        </is>
      </c>
      <c r="J71" s="21" t="inlineStr">
        <is>
          <t>2026/04/14</t>
        </is>
      </c>
      <c r="K71" s="36" t="inlineStr">
        <is>
          <t>已填息 (20天)</t>
        </is>
      </c>
      <c r="L71" s="37" t="n">
        <v>20</v>
      </c>
      <c r="M71" s="23" t="n">
        <v>1</v>
      </c>
      <c r="N71" s="25" t="n">
        <v>0</v>
      </c>
      <c r="O71" s="20" t="inlineStr">
        <is>
          <t>每年2次</t>
        </is>
      </c>
    </row>
    <row r="72" ht="19" customHeight="1">
      <c r="A72" s="26" t="inlineStr">
        <is>
          <t>ETF</t>
        </is>
      </c>
      <c r="B72" s="26" t="inlineStr">
        <is>
          <t>00922</t>
        </is>
      </c>
      <c r="C72" s="27" t="inlineStr">
        <is>
          <t>國泰台灣領袖50</t>
        </is>
      </c>
      <c r="D72" s="26" t="inlineStr">
        <is>
          <t>2025/09</t>
        </is>
      </c>
      <c r="E72" s="32" t="n">
        <v>1.25</v>
      </c>
      <c r="F72" s="29" t="n">
        <v>0.04849999999999999</v>
      </c>
      <c r="G72" s="29" t="n">
        <v>0.09699999999999999</v>
      </c>
      <c r="H72" s="32" t="n">
        <v>25.94</v>
      </c>
      <c r="I72" s="27" t="inlineStr">
        <is>
          <t>2025/10/20</t>
        </is>
      </c>
      <c r="J72" s="27" t="inlineStr">
        <is>
          <t>2025/11/13</t>
        </is>
      </c>
      <c r="K72" s="38" t="inlineStr">
        <is>
          <t>已填息 (52天)</t>
        </is>
      </c>
      <c r="L72" s="34" t="n">
        <v>52</v>
      </c>
      <c r="M72" s="29" t="n">
        <v>1</v>
      </c>
      <c r="N72" s="31" t="n">
        <v>0</v>
      </c>
      <c r="O72" s="26" t="inlineStr">
        <is>
          <t>每年2次</t>
        </is>
      </c>
    </row>
    <row r="73" ht="19" customHeight="1">
      <c r="A73" s="20" t="inlineStr">
        <is>
          <t>ETF</t>
        </is>
      </c>
      <c r="B73" s="20" t="inlineStr">
        <is>
          <t>00922</t>
        </is>
      </c>
      <c r="C73" s="21" t="inlineStr">
        <is>
          <t>國泰台灣領袖50</t>
        </is>
      </c>
      <c r="D73" s="20" t="inlineStr">
        <is>
          <t>2025/02</t>
        </is>
      </c>
      <c r="E73" s="35" t="n">
        <v>0.63</v>
      </c>
      <c r="F73" s="23" t="n">
        <v>0.0303</v>
      </c>
      <c r="G73" s="23" t="n">
        <v>0.0607</v>
      </c>
      <c r="H73" s="35" t="n">
        <v>21.11</v>
      </c>
      <c r="I73" s="21" t="inlineStr">
        <is>
          <t>2025/03/18</t>
        </is>
      </c>
      <c r="J73" s="21" t="inlineStr">
        <is>
          <t>2025/04/15</t>
        </is>
      </c>
      <c r="K73" s="36" t="inlineStr">
        <is>
          <t>已填息 (74天)</t>
        </is>
      </c>
      <c r="L73" s="37" t="n">
        <v>74</v>
      </c>
      <c r="M73" s="23" t="n">
        <v>1</v>
      </c>
      <c r="N73" s="25" t="n">
        <v>0</v>
      </c>
      <c r="O73" s="20" t="inlineStr">
        <is>
          <t>每年2次</t>
        </is>
      </c>
    </row>
    <row r="74" ht="19" customHeight="1">
      <c r="A74" s="26" t="inlineStr">
        <is>
          <t>ETF</t>
        </is>
      </c>
      <c r="B74" s="26" t="inlineStr">
        <is>
          <t>00922</t>
        </is>
      </c>
      <c r="C74" s="27" t="inlineStr">
        <is>
          <t>國泰台灣領袖50</t>
        </is>
      </c>
      <c r="D74" s="26" t="inlineStr">
        <is>
          <t>2024/09</t>
        </is>
      </c>
      <c r="E74" s="32" t="n">
        <v>1</v>
      </c>
      <c r="F74" s="29" t="n">
        <v>0.0445</v>
      </c>
      <c r="G74" s="29" t="n">
        <v>0.08900000000000001</v>
      </c>
      <c r="H74" s="32" t="n">
        <v/>
      </c>
      <c r="I74" s="27" t="inlineStr">
        <is>
          <t>2024/10/17</t>
        </is>
      </c>
      <c r="J74" s="27" t="inlineStr">
        <is>
          <t>2024/11/12</t>
        </is>
      </c>
      <c r="K74" s="26" t="inlineStr">
        <is>
          <t>資料不足</t>
        </is>
      </c>
      <c r="L74" s="34" t="n">
        <v/>
      </c>
      <c r="M74" s="29" t="n">
        <v>1</v>
      </c>
      <c r="N74" s="31" t="n">
        <v>0</v>
      </c>
      <c r="O74" s="26" t="inlineStr">
        <is>
          <t>每年2次</t>
        </is>
      </c>
    </row>
    <row r="75" ht="19" customHeight="1">
      <c r="A75" s="20" t="inlineStr">
        <is>
          <t>ETF</t>
        </is>
      </c>
      <c r="B75" s="20" t="inlineStr">
        <is>
          <t>00922</t>
        </is>
      </c>
      <c r="C75" s="21" t="inlineStr">
        <is>
          <t>國泰台灣領袖50</t>
        </is>
      </c>
      <c r="D75" s="20" t="inlineStr">
        <is>
          <t>2024/02</t>
        </is>
      </c>
      <c r="E75" s="35" t="n">
        <v>0.38</v>
      </c>
      <c r="F75" s="23" t="n">
        <v>0.0202</v>
      </c>
      <c r="G75" s="23" t="n">
        <v>0.0403</v>
      </c>
      <c r="H75" s="35" t="n">
        <v/>
      </c>
      <c r="I75" s="21" t="inlineStr">
        <is>
          <t>2024/03/18</t>
        </is>
      </c>
      <c r="J75" s="21" t="inlineStr">
        <is>
          <t>2024/04/15</t>
        </is>
      </c>
      <c r="K75" s="20" t="inlineStr">
        <is>
          <t>資料不足</t>
        </is>
      </c>
      <c r="L75" s="37" t="n">
        <v/>
      </c>
      <c r="M75" s="23" t="n">
        <v>1</v>
      </c>
      <c r="N75" s="25" t="n">
        <v>0</v>
      </c>
      <c r="O75" s="20" t="inlineStr">
        <is>
          <t>每年2次</t>
        </is>
      </c>
    </row>
    <row r="76" ht="19" customHeight="1">
      <c r="A76" s="26" t="inlineStr">
        <is>
          <t>ETF</t>
        </is>
      </c>
      <c r="B76" s="26" t="inlineStr">
        <is>
          <t>00922</t>
        </is>
      </c>
      <c r="C76" s="27" t="inlineStr">
        <is>
          <t>國泰台灣領袖50</t>
        </is>
      </c>
      <c r="D76" s="26" t="inlineStr">
        <is>
          <t>2023/09</t>
        </is>
      </c>
      <c r="E76" s="32" t="n">
        <v>0.57</v>
      </c>
      <c r="F76" s="29" t="n">
        <v>0.0355</v>
      </c>
      <c r="G76" s="29" t="n">
        <v>0.07099999999999999</v>
      </c>
      <c r="H76" s="32" t="n">
        <v/>
      </c>
      <c r="I76" s="27" t="inlineStr">
        <is>
          <t>2023/10/19</t>
        </is>
      </c>
      <c r="J76" s="27" t="inlineStr">
        <is>
          <t>2023/11/14</t>
        </is>
      </c>
      <c r="K76" s="26" t="inlineStr">
        <is>
          <t>資料不足</t>
        </is>
      </c>
      <c r="L76" s="34" t="n">
        <v/>
      </c>
      <c r="M76" s="29" t="n">
        <v>1</v>
      </c>
      <c r="N76" s="31" t="n">
        <v>0</v>
      </c>
      <c r="O76" s="26" t="inlineStr">
        <is>
          <t>每年2次</t>
        </is>
      </c>
    </row>
    <row r="77" ht="19" customHeight="1">
      <c r="A77" s="20" t="inlineStr">
        <is>
          <t>ETF</t>
        </is>
      </c>
      <c r="B77" s="20" t="inlineStr">
        <is>
          <t>00916</t>
        </is>
      </c>
      <c r="C77" s="21" t="inlineStr">
        <is>
          <t>國泰全球品牌50</t>
        </is>
      </c>
      <c r="D77" s="20" t="inlineStr">
        <is>
          <t>2026/05</t>
        </is>
      </c>
      <c r="E77" s="35" t="n">
        <v>1.92</v>
      </c>
      <c r="F77" s="23" t="n">
        <v>0.06909999999999999</v>
      </c>
      <c r="G77" s="23" t="n">
        <v>0.06909999999999999</v>
      </c>
      <c r="H77" s="35" t="n">
        <v>27.9</v>
      </c>
      <c r="I77" s="21" t="inlineStr">
        <is>
          <t>2026/06/16</t>
        </is>
      </c>
      <c r="J77" s="21" t="inlineStr">
        <is>
          <t>2026/07/10</t>
        </is>
      </c>
      <c r="K77" s="36" t="inlineStr">
        <is>
          <t>已填息 (82天)</t>
        </is>
      </c>
      <c r="L77" s="37" t="n">
        <v>82</v>
      </c>
      <c r="M77" s="23" t="n">
        <v>1</v>
      </c>
      <c r="N77" s="25" t="n">
        <v>0</v>
      </c>
      <c r="O77" s="20" t="inlineStr">
        <is>
          <t>年配</t>
        </is>
      </c>
    </row>
    <row r="78" ht="19" customHeight="1">
      <c r="A78" s="26" t="inlineStr">
        <is>
          <t>ETF</t>
        </is>
      </c>
      <c r="B78" s="26" t="inlineStr">
        <is>
          <t>00916</t>
        </is>
      </c>
      <c r="C78" s="27" t="inlineStr">
        <is>
          <t>國泰全球品牌50</t>
        </is>
      </c>
      <c r="D78" s="26" t="inlineStr">
        <is>
          <t>2025/05</t>
        </is>
      </c>
      <c r="E78" s="32" t="n">
        <v>0.25</v>
      </c>
      <c r="F78" s="29" t="n">
        <v>0.0109</v>
      </c>
      <c r="G78" s="29" t="n">
        <v>0.0109</v>
      </c>
      <c r="H78" s="32" t="n">
        <v>22.81</v>
      </c>
      <c r="I78" s="27" t="inlineStr">
        <is>
          <t>2025/06/17</t>
        </is>
      </c>
      <c r="J78" s="27" t="inlineStr">
        <is>
          <t>2025/07/11</t>
        </is>
      </c>
      <c r="K78" s="38" t="inlineStr">
        <is>
          <t>已填息 (5天)</t>
        </is>
      </c>
      <c r="L78" s="34" t="n">
        <v>5</v>
      </c>
      <c r="M78" s="29" t="n">
        <v>1</v>
      </c>
      <c r="N78" s="31" t="n">
        <v>0</v>
      </c>
      <c r="O78" s="26" t="inlineStr">
        <is>
          <t>年配</t>
        </is>
      </c>
    </row>
    <row r="79" ht="19" customHeight="1">
      <c r="A79" s="20" t="inlineStr">
        <is>
          <t>ETF</t>
        </is>
      </c>
      <c r="B79" s="20" t="inlineStr">
        <is>
          <t>00916</t>
        </is>
      </c>
      <c r="C79" s="21" t="inlineStr">
        <is>
          <t>國泰全球品牌50</t>
        </is>
      </c>
      <c r="D79" s="20" t="inlineStr">
        <is>
          <t>2024/05</t>
        </is>
      </c>
      <c r="E79" s="35" t="n">
        <v>0.22</v>
      </c>
      <c r="F79" s="23" t="n">
        <v>0.0098</v>
      </c>
      <c r="G79" s="23" t="n">
        <v>0.0098</v>
      </c>
      <c r="H79" s="35" t="n">
        <v/>
      </c>
      <c r="I79" s="21" t="inlineStr">
        <is>
          <t>2024/06/20</t>
        </is>
      </c>
      <c r="J79" s="21" t="inlineStr">
        <is>
          <t>2024/07/15</t>
        </is>
      </c>
      <c r="K79" s="20" t="inlineStr">
        <is>
          <t>資料不足</t>
        </is>
      </c>
      <c r="L79" s="37" t="n">
        <v/>
      </c>
      <c r="M79" s="23" t="n">
        <v>1</v>
      </c>
      <c r="N79" s="25" t="n">
        <v>0</v>
      </c>
      <c r="O79" s="20" t="inlineStr">
        <is>
          <t>年配</t>
        </is>
      </c>
    </row>
    <row r="80" ht="19" customHeight="1">
      <c r="A80" s="26" t="inlineStr">
        <is>
          <t>ETF</t>
        </is>
      </c>
      <c r="B80" s="26" t="inlineStr">
        <is>
          <t>00916</t>
        </is>
      </c>
      <c r="C80" s="27" t="inlineStr">
        <is>
          <t>國泰全球品牌50</t>
        </is>
      </c>
      <c r="D80" s="26" t="inlineStr">
        <is>
          <t>2023/05</t>
        </is>
      </c>
      <c r="E80" s="32" t="n">
        <v>0.17</v>
      </c>
      <c r="F80" s="29" t="n">
        <v>0.009399999999999999</v>
      </c>
      <c r="G80" s="29" t="n">
        <v>0.009399999999999999</v>
      </c>
      <c r="H80" s="32" t="n">
        <v/>
      </c>
      <c r="I80" s="27" t="inlineStr">
        <is>
          <t>2023/06/16</t>
        </is>
      </c>
      <c r="J80" s="27" t="inlineStr">
        <is>
          <t>2023/07/14</t>
        </is>
      </c>
      <c r="K80" s="26" t="inlineStr">
        <is>
          <t>資料不足</t>
        </is>
      </c>
      <c r="L80" s="34" t="n">
        <v/>
      </c>
      <c r="M80" s="29" t="n">
        <v>1</v>
      </c>
      <c r="N80" s="31" t="n">
        <v>0</v>
      </c>
      <c r="O80" s="26" t="inlineStr">
        <is>
          <t>年配</t>
        </is>
      </c>
    </row>
    <row r="81" ht="19" customHeight="1">
      <c r="A81" s="20" t="inlineStr">
        <is>
          <t>ETF</t>
        </is>
      </c>
      <c r="B81" s="20" t="inlineStr">
        <is>
          <t>00735</t>
        </is>
      </c>
      <c r="C81" s="21" t="inlineStr">
        <is>
          <t>國泰臺韓科技</t>
        </is>
      </c>
      <c r="D81" s="20" t="inlineStr">
        <is>
          <t>2026/06</t>
        </is>
      </c>
      <c r="E81" s="35" t="n">
        <v>3</v>
      </c>
      <c r="F81" s="23" t="n">
        <v>0.0281</v>
      </c>
      <c r="G81" s="23" t="n">
        <v>0.0562</v>
      </c>
      <c r="H81" s="35" t="n">
        <v>106.9</v>
      </c>
      <c r="I81" s="21" t="inlineStr">
        <is>
          <t>2026/07/16</t>
        </is>
      </c>
      <c r="J81" s="21" t="inlineStr">
        <is>
          <t>2026/08/11</t>
        </is>
      </c>
      <c r="K81" s="36" t="inlineStr">
        <is>
          <t>已填息 (37天)</t>
        </is>
      </c>
      <c r="L81" s="37" t="n">
        <v>37</v>
      </c>
      <c r="M81" s="23" t="n">
        <v>1</v>
      </c>
      <c r="N81" s="25" t="n">
        <v>0</v>
      </c>
      <c r="O81" s="20" t="inlineStr">
        <is>
          <t>每年2次</t>
        </is>
      </c>
    </row>
    <row r="82" ht="19" customHeight="1">
      <c r="A82" s="26" t="inlineStr">
        <is>
          <t>ETF</t>
        </is>
      </c>
      <c r="B82" s="26" t="inlineStr">
        <is>
          <t>00735</t>
        </is>
      </c>
      <c r="C82" s="27" t="inlineStr">
        <is>
          <t>國泰臺韓科技</t>
        </is>
      </c>
      <c r="D82" s="26" t="inlineStr">
        <is>
          <t>2025/12</t>
        </is>
      </c>
      <c r="E82" s="32" t="n">
        <v>1</v>
      </c>
      <c r="F82" s="29" t="n">
        <v>0.0167</v>
      </c>
      <c r="G82" s="29" t="n">
        <v>0.0335</v>
      </c>
      <c r="H82" s="32" t="n">
        <v>60.3</v>
      </c>
      <c r="I82" s="27" t="inlineStr">
        <is>
          <t>2026/01/20</t>
        </is>
      </c>
      <c r="J82" s="27" t="inlineStr">
        <is>
          <t>2026/02/12</t>
        </is>
      </c>
      <c r="K82" s="38" t="inlineStr">
        <is>
          <t>已填息 (5天)</t>
        </is>
      </c>
      <c r="L82" s="34" t="n">
        <v>5</v>
      </c>
      <c r="M82" s="29" t="n">
        <v>1</v>
      </c>
      <c r="N82" s="31" t="n">
        <v>0</v>
      </c>
      <c r="O82" s="26" t="inlineStr">
        <is>
          <t>每年2次</t>
        </is>
      </c>
    </row>
    <row r="83" ht="19" customHeight="1">
      <c r="A83" s="20" t="inlineStr">
        <is>
          <t>ETF</t>
        </is>
      </c>
      <c r="B83" s="20" t="inlineStr">
        <is>
          <t>00735</t>
        </is>
      </c>
      <c r="C83" s="21" t="inlineStr">
        <is>
          <t>國泰臺韓科技</t>
        </is>
      </c>
      <c r="D83" s="20" t="inlineStr">
        <is>
          <t>2025/06</t>
        </is>
      </c>
      <c r="E83" s="35" t="n">
        <v>0.25</v>
      </c>
      <c r="F83" s="23" t="n">
        <v>0.0071</v>
      </c>
      <c r="G83" s="23" t="n">
        <v>0.0141</v>
      </c>
      <c r="H83" s="35" t="n">
        <v>35.01</v>
      </c>
      <c r="I83" s="21" t="inlineStr">
        <is>
          <t>2025/07/16</t>
        </is>
      </c>
      <c r="J83" s="21" t="inlineStr">
        <is>
          <t>2025/08/11</t>
        </is>
      </c>
      <c r="K83" s="36" t="inlineStr">
        <is>
          <t>已填息 (1天)</t>
        </is>
      </c>
      <c r="L83" s="37" t="n">
        <v>1</v>
      </c>
      <c r="M83" s="23" t="n">
        <v>1</v>
      </c>
      <c r="N83" s="25" t="n">
        <v>0</v>
      </c>
      <c r="O83" s="20" t="inlineStr">
        <is>
          <t>每年2次</t>
        </is>
      </c>
    </row>
    <row r="84" ht="19" customHeight="1">
      <c r="A84" s="26" t="inlineStr">
        <is>
          <t>ETF</t>
        </is>
      </c>
      <c r="B84" s="26" t="inlineStr">
        <is>
          <t>00735</t>
        </is>
      </c>
      <c r="C84" s="27" t="inlineStr">
        <is>
          <t>國泰臺韓科技</t>
        </is>
      </c>
      <c r="D84" s="26" t="inlineStr">
        <is>
          <t>2024/12</t>
        </is>
      </c>
      <c r="E84" s="32" t="n">
        <v>0.17</v>
      </c>
      <c r="F84" s="29" t="n">
        <v>0.0051</v>
      </c>
      <c r="G84" s="29" t="n">
        <v>0.0102</v>
      </c>
      <c r="H84" s="32" t="n">
        <v>33.05</v>
      </c>
      <c r="I84" s="27" t="inlineStr">
        <is>
          <t>2025/01/17</t>
        </is>
      </c>
      <c r="J84" s="27" t="inlineStr">
        <is>
          <t>2025/02/18</t>
        </is>
      </c>
      <c r="K84" s="38" t="inlineStr">
        <is>
          <t>已填息 (2天)</t>
        </is>
      </c>
      <c r="L84" s="34" t="n">
        <v>2</v>
      </c>
      <c r="M84" s="29" t="n">
        <v>1</v>
      </c>
      <c r="N84" s="31" t="n">
        <v>0</v>
      </c>
      <c r="O84" s="26" t="inlineStr">
        <is>
          <t>每年2次</t>
        </is>
      </c>
    </row>
    <row r="85" ht="19" customHeight="1">
      <c r="A85" s="20" t="inlineStr">
        <is>
          <t>ETF</t>
        </is>
      </c>
      <c r="B85" s="20" t="inlineStr">
        <is>
          <t>00735</t>
        </is>
      </c>
      <c r="C85" s="21" t="inlineStr">
        <is>
          <t>國泰臺韓科技</t>
        </is>
      </c>
      <c r="D85" s="20" t="inlineStr">
        <is>
          <t>2024/06</t>
        </is>
      </c>
      <c r="E85" s="35" t="n">
        <v>2.73</v>
      </c>
      <c r="F85" s="23" t="n">
        <v>0.0679</v>
      </c>
      <c r="G85" s="23" t="n">
        <v>0.1358</v>
      </c>
      <c r="H85" s="35" t="n">
        <v/>
      </c>
      <c r="I85" s="21" t="inlineStr">
        <is>
          <t>2024/07/16</t>
        </is>
      </c>
      <c r="J85" s="21" t="inlineStr">
        <is>
          <t>2024/08/09</t>
        </is>
      </c>
      <c r="K85" s="20" t="inlineStr">
        <is>
          <t>資料不足</t>
        </is>
      </c>
      <c r="L85" s="37" t="n">
        <v/>
      </c>
      <c r="M85" s="23" t="n">
        <v>1</v>
      </c>
      <c r="N85" s="25" t="n">
        <v>0</v>
      </c>
      <c r="O85" s="20" t="inlineStr">
        <is>
          <t>每年2次</t>
        </is>
      </c>
    </row>
    <row r="86" ht="19" customHeight="1">
      <c r="A86" s="26" t="inlineStr">
        <is>
          <t>ETF</t>
        </is>
      </c>
      <c r="B86" s="26" t="inlineStr">
        <is>
          <t>00735</t>
        </is>
      </c>
      <c r="C86" s="27" t="inlineStr">
        <is>
          <t>國泰臺韓科技</t>
        </is>
      </c>
      <c r="D86" s="26" t="inlineStr">
        <is>
          <t>2023/12</t>
        </is>
      </c>
      <c r="E86" s="32" t="n">
        <v>1.1</v>
      </c>
      <c r="F86" s="29" t="n">
        <v>0.03700000000000001</v>
      </c>
      <c r="G86" s="29" t="n">
        <v>0.07400000000000001</v>
      </c>
      <c r="H86" s="32" t="n">
        <v/>
      </c>
      <c r="I86" s="27" t="inlineStr">
        <is>
          <t>2024/01/17</t>
        </is>
      </c>
      <c r="J86" s="27" t="inlineStr">
        <is>
          <t>2024/02/17</t>
        </is>
      </c>
      <c r="K86" s="26" t="inlineStr">
        <is>
          <t>資料不足</t>
        </is>
      </c>
      <c r="L86" s="34" t="n">
        <v/>
      </c>
      <c r="M86" s="29" t="n">
        <v>1</v>
      </c>
      <c r="N86" s="31" t="n">
        <v>0</v>
      </c>
      <c r="O86" s="26" t="inlineStr">
        <is>
          <t>每年2次</t>
        </is>
      </c>
    </row>
    <row r="87" ht="19" customHeight="1">
      <c r="A87" s="20" t="inlineStr">
        <is>
          <t>ETF</t>
        </is>
      </c>
      <c r="B87" s="20" t="inlineStr">
        <is>
          <t>00735</t>
        </is>
      </c>
      <c r="C87" s="21" t="inlineStr">
        <is>
          <t>國泰臺韓科技</t>
        </is>
      </c>
      <c r="D87" s="20" t="inlineStr">
        <is>
          <t>2023/06</t>
        </is>
      </c>
      <c r="E87" s="35" t="n">
        <v>1.2</v>
      </c>
      <c r="F87" s="23" t="n">
        <v>0.0385</v>
      </c>
      <c r="G87" s="23" t="n">
        <v>0.07690000000000001</v>
      </c>
      <c r="H87" s="35" t="n">
        <v/>
      </c>
      <c r="I87" s="21" t="inlineStr">
        <is>
          <t>2023/07/18</t>
        </is>
      </c>
      <c r="J87" s="21" t="inlineStr">
        <is>
          <t>2023/08/11</t>
        </is>
      </c>
      <c r="K87" s="20" t="inlineStr">
        <is>
          <t>資料不足</t>
        </is>
      </c>
      <c r="L87" s="37" t="n">
        <v/>
      </c>
      <c r="M87" s="23" t="n">
        <v>1</v>
      </c>
      <c r="N87" s="25" t="n">
        <v>0</v>
      </c>
      <c r="O87" s="20" t="inlineStr">
        <is>
          <t>每年2次</t>
        </is>
      </c>
    </row>
    <row r="88" ht="19" customHeight="1">
      <c r="A88" s="26" t="inlineStr">
        <is>
          <t>ETF</t>
        </is>
      </c>
      <c r="B88" s="26" t="inlineStr">
        <is>
          <t>00735</t>
        </is>
      </c>
      <c r="C88" s="27" t="inlineStr">
        <is>
          <t>國泰臺韓科技</t>
        </is>
      </c>
      <c r="D88" s="26" t="inlineStr">
        <is>
          <t>2022/12</t>
        </is>
      </c>
      <c r="E88" s="32" t="n">
        <v>0.32</v>
      </c>
      <c r="F88" s="29" t="n">
        <v>0.0124</v>
      </c>
      <c r="G88" s="29" t="n">
        <v>0.0249</v>
      </c>
      <c r="H88" s="32" t="n">
        <v/>
      </c>
      <c r="I88" s="27" t="inlineStr">
        <is>
          <t>2023/01/30</t>
        </is>
      </c>
      <c r="J88" s="27" t="inlineStr">
        <is>
          <t>2023/03/02</t>
        </is>
      </c>
      <c r="K88" s="26" t="inlineStr">
        <is>
          <t>資料不足</t>
        </is>
      </c>
      <c r="L88" s="34" t="n">
        <v/>
      </c>
      <c r="M88" s="29" t="n">
        <v>1</v>
      </c>
      <c r="N88" s="31" t="n">
        <v>0</v>
      </c>
      <c r="O88" s="26" t="inlineStr">
        <is>
          <t>每年2次</t>
        </is>
      </c>
    </row>
    <row r="89" ht="19" customHeight="1">
      <c r="A89" s="20" t="inlineStr">
        <is>
          <t>ETF</t>
        </is>
      </c>
      <c r="B89" s="20" t="inlineStr">
        <is>
          <t>00735</t>
        </is>
      </c>
      <c r="C89" s="21" t="inlineStr">
        <is>
          <t>國泰臺韓科技</t>
        </is>
      </c>
      <c r="D89" s="20" t="inlineStr">
        <is>
          <t>2022/06</t>
        </is>
      </c>
      <c r="E89" s="35" t="n">
        <v>0.25</v>
      </c>
      <c r="F89" s="23" t="n">
        <v>0.0101</v>
      </c>
      <c r="G89" s="23" t="n">
        <v>0.0201</v>
      </c>
      <c r="H89" s="35" t="n">
        <v/>
      </c>
      <c r="I89" s="21" t="inlineStr">
        <is>
          <t>2022/07/18</t>
        </is>
      </c>
      <c r="J89" s="21" t="inlineStr">
        <is>
          <t>2022/08/18</t>
        </is>
      </c>
      <c r="K89" s="20" t="inlineStr">
        <is>
          <t>資料不足</t>
        </is>
      </c>
      <c r="L89" s="37" t="n">
        <v/>
      </c>
      <c r="M89" s="23" t="n">
        <v>1</v>
      </c>
      <c r="N89" s="25" t="n">
        <v>0</v>
      </c>
      <c r="O89" s="20" t="inlineStr">
        <is>
          <t>每年2次</t>
        </is>
      </c>
    </row>
    <row r="90" ht="19" customHeight="1">
      <c r="A90" s="26" t="inlineStr">
        <is>
          <t>ETF</t>
        </is>
      </c>
      <c r="B90" s="26" t="inlineStr">
        <is>
          <t>00735</t>
        </is>
      </c>
      <c r="C90" s="27" t="inlineStr">
        <is>
          <t>國泰臺韓科技</t>
        </is>
      </c>
      <c r="D90" s="26" t="inlineStr">
        <is>
          <t>2021/12</t>
        </is>
      </c>
      <c r="E90" s="32" t="n">
        <v>1.05</v>
      </c>
      <c r="F90" s="29" t="n">
        <v>0.0317</v>
      </c>
      <c r="G90" s="29" t="n">
        <v>0.0633</v>
      </c>
      <c r="H90" s="32" t="n">
        <v/>
      </c>
      <c r="I90" s="27" t="inlineStr">
        <is>
          <t>2022/01/18</t>
        </is>
      </c>
      <c r="J90" s="27" t="inlineStr">
        <is>
          <t>2022/02/25</t>
        </is>
      </c>
      <c r="K90" s="26" t="inlineStr">
        <is>
          <t>資料不足</t>
        </is>
      </c>
      <c r="L90" s="34" t="n">
        <v/>
      </c>
      <c r="M90" s="29" t="n">
        <v>1</v>
      </c>
      <c r="N90" s="31" t="n">
        <v>0</v>
      </c>
      <c r="O90" s="26" t="inlineStr">
        <is>
          <t>每年2次</t>
        </is>
      </c>
    </row>
    <row r="91" ht="19" customHeight="1">
      <c r="A91" s="20" t="inlineStr">
        <is>
          <t>ETF</t>
        </is>
      </c>
      <c r="B91" s="20" t="inlineStr">
        <is>
          <t>00830</t>
        </is>
      </c>
      <c r="C91" s="21" t="inlineStr">
        <is>
          <t>國泰費城半導體</t>
        </is>
      </c>
      <c r="D91" s="20" t="inlineStr">
        <is>
          <t>2025/12</t>
        </is>
      </c>
      <c r="E91" s="35" t="n">
        <v>9</v>
      </c>
      <c r="F91" s="23" t="n">
        <v>0.1393</v>
      </c>
      <c r="G91" s="23" t="n">
        <v>0.1393</v>
      </c>
      <c r="H91" s="35" t="n">
        <v>64.5</v>
      </c>
      <c r="I91" s="21" t="inlineStr">
        <is>
          <t>2026/01/20</t>
        </is>
      </c>
      <c r="J91" s="21" t="inlineStr">
        <is>
          <t>2026/02/12</t>
        </is>
      </c>
      <c r="K91" s="36" t="inlineStr">
        <is>
          <t>已填息 (53天)</t>
        </is>
      </c>
      <c r="L91" s="37" t="n">
        <v>53</v>
      </c>
      <c r="M91" s="23" t="n">
        <v>1</v>
      </c>
      <c r="N91" s="25" t="n">
        <v>0</v>
      </c>
      <c r="O91" s="20" t="inlineStr">
        <is>
          <t>年配</t>
        </is>
      </c>
    </row>
    <row r="92" ht="19" customHeight="1">
      <c r="A92" s="26" t="inlineStr">
        <is>
          <t>ETF</t>
        </is>
      </c>
      <c r="B92" s="26" t="inlineStr">
        <is>
          <t>00830</t>
        </is>
      </c>
      <c r="C92" s="27" t="inlineStr">
        <is>
          <t>國泰費城半導體</t>
        </is>
      </c>
      <c r="D92" s="26" t="inlineStr">
        <is>
          <t>2024/12</t>
        </is>
      </c>
      <c r="E92" s="32" t="n">
        <v>3.96</v>
      </c>
      <c r="F92" s="29" t="n">
        <v>0.08289999999999999</v>
      </c>
      <c r="G92" s="29" t="n">
        <v>0.08289999999999999</v>
      </c>
      <c r="H92" s="32" t="n">
        <v>47.78</v>
      </c>
      <c r="I92" s="27" t="inlineStr">
        <is>
          <t>2025/01/17</t>
        </is>
      </c>
      <c r="J92" s="27" t="inlineStr">
        <is>
          <t>2025/02/18</t>
        </is>
      </c>
      <c r="K92" s="38" t="inlineStr">
        <is>
          <t>已填息 (157天)</t>
        </is>
      </c>
      <c r="L92" s="34" t="n">
        <v>157</v>
      </c>
      <c r="M92" s="29" t="n">
        <v>1</v>
      </c>
      <c r="N92" s="31" t="n">
        <v>0</v>
      </c>
      <c r="O92" s="26" t="inlineStr">
        <is>
          <t>年配</t>
        </is>
      </c>
    </row>
    <row r="93" ht="19" customHeight="1">
      <c r="A93" s="20" t="inlineStr">
        <is>
          <t>ETF</t>
        </is>
      </c>
      <c r="B93" s="20" t="inlineStr">
        <is>
          <t>00830</t>
        </is>
      </c>
      <c r="C93" s="21" t="inlineStr">
        <is>
          <t>國泰費城半導體</t>
        </is>
      </c>
      <c r="D93" s="20" t="inlineStr">
        <is>
          <t>2023/12</t>
        </is>
      </c>
      <c r="E93" s="35" t="n">
        <v>1.51</v>
      </c>
      <c r="F93" s="23" t="n">
        <v>0.0401</v>
      </c>
      <c r="G93" s="23" t="n">
        <v>0.0401</v>
      </c>
      <c r="H93" s="35" t="n">
        <v/>
      </c>
      <c r="I93" s="21" t="inlineStr">
        <is>
          <t>2024/01/17</t>
        </is>
      </c>
      <c r="J93" s="21" t="inlineStr">
        <is>
          <t>2024/02/17</t>
        </is>
      </c>
      <c r="K93" s="20" t="inlineStr">
        <is>
          <t>資料不足</t>
        </is>
      </c>
      <c r="L93" s="37" t="n">
        <v/>
      </c>
      <c r="M93" s="23" t="n">
        <v>1</v>
      </c>
      <c r="N93" s="25" t="n">
        <v>0</v>
      </c>
      <c r="O93" s="20" t="inlineStr">
        <is>
          <t>年配</t>
        </is>
      </c>
    </row>
    <row r="94" ht="19" customHeight="1">
      <c r="A94" s="26" t="inlineStr">
        <is>
          <t>ETF</t>
        </is>
      </c>
      <c r="B94" s="26" t="inlineStr">
        <is>
          <t>00830</t>
        </is>
      </c>
      <c r="C94" s="27" t="inlineStr">
        <is>
          <t>國泰費城半導體</t>
        </is>
      </c>
      <c r="D94" s="26" t="inlineStr">
        <is>
          <t>2022/12</t>
        </is>
      </c>
      <c r="E94" s="32" t="n">
        <v>0.12</v>
      </c>
      <c r="F94" s="29" t="n">
        <v>0.0048</v>
      </c>
      <c r="G94" s="29" t="n">
        <v>0.0048</v>
      </c>
      <c r="H94" s="32" t="n">
        <v/>
      </c>
      <c r="I94" s="27" t="inlineStr">
        <is>
          <t>2023/01/30</t>
        </is>
      </c>
      <c r="J94" s="27" t="inlineStr">
        <is>
          <t>2023/03/02</t>
        </is>
      </c>
      <c r="K94" s="26" t="inlineStr">
        <is>
          <t>資料不足</t>
        </is>
      </c>
      <c r="L94" s="34" t="n">
        <v/>
      </c>
      <c r="M94" s="29" t="n">
        <v>1</v>
      </c>
      <c r="N94" s="31" t="n">
        <v>0</v>
      </c>
      <c r="O94" s="26" t="inlineStr">
        <is>
          <t>年配</t>
        </is>
      </c>
    </row>
    <row r="95" ht="19" customHeight="1">
      <c r="A95" s="20" t="inlineStr">
        <is>
          <t>ETF</t>
        </is>
      </c>
      <c r="B95" s="20" t="inlineStr">
        <is>
          <t>00830</t>
        </is>
      </c>
      <c r="C95" s="21" t="inlineStr">
        <is>
          <t>國泰費城半導體</t>
        </is>
      </c>
      <c r="D95" s="20" t="inlineStr">
        <is>
          <t>2021/12</t>
        </is>
      </c>
      <c r="E95" s="35" t="n">
        <v>2.8</v>
      </c>
      <c r="F95" s="23" t="n">
        <v>0.08210000000000001</v>
      </c>
      <c r="G95" s="23" t="n">
        <v>0.08210000000000001</v>
      </c>
      <c r="H95" s="35" t="n">
        <v/>
      </c>
      <c r="I95" s="21" t="inlineStr">
        <is>
          <t>2022/01/18</t>
        </is>
      </c>
      <c r="J95" s="21" t="inlineStr">
        <is>
          <t>2022/02/25</t>
        </is>
      </c>
      <c r="K95" s="20" t="inlineStr">
        <is>
          <t>資料不足</t>
        </is>
      </c>
      <c r="L95" s="37" t="n">
        <v/>
      </c>
      <c r="M95" s="23" t="n">
        <v>1</v>
      </c>
      <c r="N95" s="25" t="n">
        <v>0</v>
      </c>
      <c r="O95" s="20" t="inlineStr">
        <is>
          <t>年配</t>
        </is>
      </c>
    </row>
    <row r="96" ht="19" customHeight="1">
      <c r="A96" s="26" t="inlineStr">
        <is>
          <t>ETF</t>
        </is>
      </c>
      <c r="B96" s="26" t="inlineStr">
        <is>
          <t>00830</t>
        </is>
      </c>
      <c r="C96" s="27" t="inlineStr">
        <is>
          <t>國泰費城半導體</t>
        </is>
      </c>
      <c r="D96" s="26" t="inlineStr">
        <is>
          <t>2020/12</t>
        </is>
      </c>
      <c r="E96" s="32" t="n">
        <v>0.32</v>
      </c>
      <c r="F96" s="29" t="n">
        <v>0.012</v>
      </c>
      <c r="G96" s="29" t="n">
        <v>0.012</v>
      </c>
      <c r="H96" s="32" t="n">
        <v/>
      </c>
      <c r="I96" s="27" t="inlineStr">
        <is>
          <t>2021/01/19</t>
        </is>
      </c>
      <c r="J96" s="27" t="inlineStr">
        <is>
          <t>2021/02/26</t>
        </is>
      </c>
      <c r="K96" s="26" t="inlineStr">
        <is>
          <t>資料不足</t>
        </is>
      </c>
      <c r="L96" s="34" t="n">
        <v/>
      </c>
      <c r="M96" s="29" t="n">
        <v>1</v>
      </c>
      <c r="N96" s="31" t="n">
        <v>0</v>
      </c>
      <c r="O96" s="26" t="inlineStr">
        <is>
          <t>年配</t>
        </is>
      </c>
    </row>
    <row r="97" ht="19" customHeight="1">
      <c r="A97" s="20" t="inlineStr">
        <is>
          <t>ETF</t>
        </is>
      </c>
      <c r="B97" s="20" t="inlineStr">
        <is>
          <t>00770</t>
        </is>
      </c>
      <c r="C97" s="21" t="inlineStr">
        <is>
          <t>國泰北美科技</t>
        </is>
      </c>
      <c r="D97" s="20" t="inlineStr">
        <is>
          <t>2026/08</t>
        </is>
      </c>
      <c r="E97" s="35" t="n">
        <v>6</v>
      </c>
      <c r="F97" s="23" t="n">
        <v>0.08869999999999999</v>
      </c>
      <c r="G97" s="23" t="n">
        <v>0.08869999999999999</v>
      </c>
      <c r="H97" s="35" t="n">
        <v>67.75</v>
      </c>
      <c r="I97" s="21" t="inlineStr">
        <is>
          <t>2026/09/16</t>
        </is>
      </c>
      <c r="J97" s="21" t="inlineStr">
        <is>
          <t>2026/10/15</t>
        </is>
      </c>
      <c r="K97" s="39" t="inlineStr">
        <is>
          <t>尚未填息 (貼息中)</t>
        </is>
      </c>
      <c r="L97" s="37" t="n">
        <v/>
      </c>
      <c r="M97" s="23" t="n">
        <v>1</v>
      </c>
      <c r="N97" s="25" t="n">
        <v>0</v>
      </c>
      <c r="O97" s="20" t="inlineStr">
        <is>
          <t>年配</t>
        </is>
      </c>
    </row>
    <row r="98" ht="19" customHeight="1">
      <c r="A98" s="26" t="inlineStr">
        <is>
          <t>ETF</t>
        </is>
      </c>
      <c r="B98" s="26" t="inlineStr">
        <is>
          <t>00770</t>
        </is>
      </c>
      <c r="C98" s="27" t="inlineStr">
        <is>
          <t>國泰北美科技</t>
        </is>
      </c>
      <c r="D98" s="26" t="inlineStr">
        <is>
          <t>2025/12</t>
        </is>
      </c>
      <c r="E98" s="32" t="n">
        <v>4.2</v>
      </c>
      <c r="F98" s="29" t="n">
        <v>0.0718</v>
      </c>
      <c r="G98" s="29" t="n">
        <v>0.0718</v>
      </c>
      <c r="H98" s="32" t="n">
        <v>58.85</v>
      </c>
      <c r="I98" s="27" t="inlineStr">
        <is>
          <t>2026/01/20</t>
        </is>
      </c>
      <c r="J98" s="27" t="inlineStr">
        <is>
          <t>2026/02/12</t>
        </is>
      </c>
      <c r="K98" s="38" t="inlineStr">
        <is>
          <t>已填息 (60天)</t>
        </is>
      </c>
      <c r="L98" s="34" t="n">
        <v>60</v>
      </c>
      <c r="M98" s="29" t="n">
        <v>1</v>
      </c>
      <c r="N98" s="31" t="n">
        <v>0</v>
      </c>
      <c r="O98" s="26" t="inlineStr">
        <is>
          <t>年配</t>
        </is>
      </c>
    </row>
    <row r="99" ht="19" customHeight="1">
      <c r="A99" s="20" t="inlineStr">
        <is>
          <t>ETF</t>
        </is>
      </c>
      <c r="B99" s="20" t="inlineStr">
        <is>
          <t>00770</t>
        </is>
      </c>
      <c r="C99" s="21" t="inlineStr">
        <is>
          <t>國泰北美科技</t>
        </is>
      </c>
      <c r="D99" s="20" t="inlineStr">
        <is>
          <t>2024/12</t>
        </is>
      </c>
      <c r="E99" s="35" t="n">
        <v>4</v>
      </c>
      <c r="F99" s="23" t="n">
        <v>0.0774</v>
      </c>
      <c r="G99" s="23" t="n">
        <v>0.0774</v>
      </c>
      <c r="H99" s="35" t="n">
        <v>52.1</v>
      </c>
      <c r="I99" s="21" t="inlineStr">
        <is>
          <t>2025/01/17</t>
        </is>
      </c>
      <c r="J99" s="21" t="inlineStr">
        <is>
          <t>2025/02/18</t>
        </is>
      </c>
      <c r="K99" s="36" t="inlineStr">
        <is>
          <t>已填息 (154天)</t>
        </is>
      </c>
      <c r="L99" s="37" t="n">
        <v>154</v>
      </c>
      <c r="M99" s="23" t="n">
        <v>1</v>
      </c>
      <c r="N99" s="25" t="n">
        <v>0</v>
      </c>
      <c r="O99" s="20" t="inlineStr">
        <is>
          <t>年配</t>
        </is>
      </c>
    </row>
    <row r="100" ht="19" customHeight="1">
      <c r="A100" s="26" t="inlineStr">
        <is>
          <t>ETF</t>
        </is>
      </c>
      <c r="B100" s="26" t="inlineStr">
        <is>
          <t>00770</t>
        </is>
      </c>
      <c r="C100" s="27" t="inlineStr">
        <is>
          <t>國泰北美科技</t>
        </is>
      </c>
      <c r="D100" s="26" t="inlineStr">
        <is>
          <t>2023/12</t>
        </is>
      </c>
      <c r="E100" s="32" t="n">
        <v>4</v>
      </c>
      <c r="F100" s="29" t="n">
        <v>0.0984</v>
      </c>
      <c r="G100" s="29" t="n">
        <v>0.0984</v>
      </c>
      <c r="H100" s="32" t="n">
        <v/>
      </c>
      <c r="I100" s="27" t="inlineStr">
        <is>
          <t>2024/01/17</t>
        </is>
      </c>
      <c r="J100" s="27" t="inlineStr">
        <is>
          <t>2024/02/17</t>
        </is>
      </c>
      <c r="K100" s="26" t="inlineStr">
        <is>
          <t>資料不足</t>
        </is>
      </c>
      <c r="L100" s="34" t="n">
        <v/>
      </c>
      <c r="M100" s="29" t="n">
        <v>1</v>
      </c>
      <c r="N100" s="31" t="n">
        <v>0</v>
      </c>
      <c r="O100" s="26" t="inlineStr">
        <is>
          <t>年配</t>
        </is>
      </c>
    </row>
    <row r="101" ht="19" customHeight="1">
      <c r="A101" s="20" t="inlineStr">
        <is>
          <t>ETF</t>
        </is>
      </c>
      <c r="B101" s="20" t="inlineStr">
        <is>
          <t>00770</t>
        </is>
      </c>
      <c r="C101" s="21" t="inlineStr">
        <is>
          <t>國泰北美科技</t>
        </is>
      </c>
      <c r="D101" s="20" t="inlineStr">
        <is>
          <t>2022/12</t>
        </is>
      </c>
      <c r="E101" s="35" t="n">
        <v>2.8</v>
      </c>
      <c r="F101" s="23" t="n">
        <v>0.09849999999999999</v>
      </c>
      <c r="G101" s="23" t="n">
        <v>0.09849999999999999</v>
      </c>
      <c r="H101" s="35" t="n">
        <v/>
      </c>
      <c r="I101" s="21" t="inlineStr">
        <is>
          <t>2023/01/30</t>
        </is>
      </c>
      <c r="J101" s="21" t="inlineStr">
        <is>
          <t>2023/03/02</t>
        </is>
      </c>
      <c r="K101" s="20" t="inlineStr">
        <is>
          <t>資料不足</t>
        </is>
      </c>
      <c r="L101" s="37" t="n">
        <v/>
      </c>
      <c r="M101" s="23" t="n">
        <v>1</v>
      </c>
      <c r="N101" s="25" t="n">
        <v>0</v>
      </c>
      <c r="O101" s="20" t="inlineStr">
        <is>
          <t>年配</t>
        </is>
      </c>
    </row>
    <row r="102" ht="19" customHeight="1">
      <c r="A102" s="26" t="inlineStr">
        <is>
          <t>ETF</t>
        </is>
      </c>
      <c r="B102" s="26" t="inlineStr">
        <is>
          <t>00770</t>
        </is>
      </c>
      <c r="C102" s="27" t="inlineStr">
        <is>
          <t>國泰北美科技</t>
        </is>
      </c>
      <c r="D102" s="26" t="inlineStr">
        <is>
          <t>2021/12</t>
        </is>
      </c>
      <c r="E102" s="32" t="n">
        <v>1.95</v>
      </c>
      <c r="F102" s="29" t="n">
        <v>0.05110000000000001</v>
      </c>
      <c r="G102" s="29" t="n">
        <v>0.05110000000000001</v>
      </c>
      <c r="H102" s="32" t="n">
        <v/>
      </c>
      <c r="I102" s="27" t="inlineStr">
        <is>
          <t>2022/01/18</t>
        </is>
      </c>
      <c r="J102" s="27" t="inlineStr">
        <is>
          <t>2022/02/25</t>
        </is>
      </c>
      <c r="K102" s="26" t="inlineStr">
        <is>
          <t>資料不足</t>
        </is>
      </c>
      <c r="L102" s="34" t="n">
        <v/>
      </c>
      <c r="M102" s="29" t="n">
        <v>1</v>
      </c>
      <c r="N102" s="31" t="n">
        <v>0</v>
      </c>
      <c r="O102" s="26" t="inlineStr">
        <is>
          <t>年配</t>
        </is>
      </c>
    </row>
    <row r="103" ht="19" customHeight="1">
      <c r="A103" s="20" t="inlineStr">
        <is>
          <t>ETF</t>
        </is>
      </c>
      <c r="B103" s="20" t="inlineStr">
        <is>
          <t>00770</t>
        </is>
      </c>
      <c r="C103" s="21" t="inlineStr">
        <is>
          <t>國泰北美科技</t>
        </is>
      </c>
      <c r="D103" s="20" t="inlineStr">
        <is>
          <t>2020/12</t>
        </is>
      </c>
      <c r="E103" s="35" t="n">
        <v>0.38</v>
      </c>
      <c r="F103" s="23" t="n">
        <v>0.0119</v>
      </c>
      <c r="G103" s="23" t="n">
        <v>0.0119</v>
      </c>
      <c r="H103" s="35" t="n">
        <v/>
      </c>
      <c r="I103" s="21" t="inlineStr">
        <is>
          <t>2021/01/19</t>
        </is>
      </c>
      <c r="J103" s="21" t="inlineStr">
        <is>
          <t>2021/02/26</t>
        </is>
      </c>
      <c r="K103" s="20" t="inlineStr">
        <is>
          <t>資料不足</t>
        </is>
      </c>
      <c r="L103" s="37" t="n">
        <v/>
      </c>
      <c r="M103" s="23" t="n">
        <v>1</v>
      </c>
      <c r="N103" s="25" t="n">
        <v>0</v>
      </c>
      <c r="O103" s="20" t="inlineStr">
        <is>
          <t>年配</t>
        </is>
      </c>
    </row>
    <row r="104" ht="19" customHeight="1">
      <c r="A104" s="26" t="inlineStr">
        <is>
          <t>ETF</t>
        </is>
      </c>
      <c r="B104" s="26" t="inlineStr">
        <is>
          <t>00770</t>
        </is>
      </c>
      <c r="C104" s="27" t="inlineStr">
        <is>
          <t>國泰北美科技</t>
        </is>
      </c>
      <c r="D104" s="26" t="inlineStr">
        <is>
          <t>2019/12</t>
        </is>
      </c>
      <c r="E104" s="32" t="n">
        <v>0.76</v>
      </c>
      <c r="F104" s="29" t="n">
        <v>0.0286</v>
      </c>
      <c r="G104" s="29" t="n">
        <v>0.0286</v>
      </c>
      <c r="H104" s="32" t="n">
        <v/>
      </c>
      <c r="I104" s="27" t="inlineStr">
        <is>
          <t>2020/01/30</t>
        </is>
      </c>
      <c r="J104" s="27" t="inlineStr">
        <is>
          <t>2020/02/27</t>
        </is>
      </c>
      <c r="K104" s="26" t="inlineStr">
        <is>
          <t>資料不足</t>
        </is>
      </c>
      <c r="L104" s="34" t="n">
        <v/>
      </c>
      <c r="M104" s="29" t="n">
        <v>1</v>
      </c>
      <c r="N104" s="31" t="n">
        <v>0</v>
      </c>
      <c r="O104" s="26" t="inlineStr">
        <is>
          <t>年配</t>
        </is>
      </c>
    </row>
    <row r="105" ht="19" customHeight="1">
      <c r="A105" s="20" t="inlineStr">
        <is>
          <t>共同基金</t>
        </is>
      </c>
      <c r="B105" s="20" t="inlineStr">
        <is>
          <t>CM</t>
        </is>
      </c>
      <c r="C105" s="21" t="inlineStr">
        <is>
          <t>國泰台灣高股息基金(新台幣)-B</t>
        </is>
      </c>
      <c r="D105" s="20" t="inlineStr">
        <is>
          <t>2026/09</t>
        </is>
      </c>
      <c r="E105" s="35" t="n">
        <v>0.48</v>
      </c>
      <c r="F105" s="23" t="n">
        <v>0.008100000000000001</v>
      </c>
      <c r="G105" s="23" t="n">
        <v>0.0974</v>
      </c>
      <c r="H105" s="35" t="n">
        <v>59.12</v>
      </c>
      <c r="I105" s="21" t="inlineStr">
        <is>
          <t>2026/10/02</t>
        </is>
      </c>
      <c r="J105" s="21" t="inlineStr">
        <is>
          <t>2026/10/16</t>
        </is>
      </c>
      <c r="K105" s="36" t="inlineStr">
        <is>
          <t>已填息 (1天)</t>
        </is>
      </c>
      <c r="L105" s="37" t="n">
        <v>1</v>
      </c>
      <c r="M105" s="23" t="n">
        <v>1</v>
      </c>
      <c r="N105" s="25" t="n">
        <v>0</v>
      </c>
      <c r="O105" s="20" t="inlineStr">
        <is>
          <t>月配</t>
        </is>
      </c>
    </row>
    <row r="106" ht="19" customHeight="1">
      <c r="A106" s="26" t="inlineStr">
        <is>
          <t>共同基金</t>
        </is>
      </c>
      <c r="B106" s="26" t="inlineStr">
        <is>
          <t>CM</t>
        </is>
      </c>
      <c r="C106" s="27" t="inlineStr">
        <is>
          <t>國泰台灣高股息基金(新台幣)-B</t>
        </is>
      </c>
      <c r="D106" s="26" t="inlineStr">
        <is>
          <t>2026/08</t>
        </is>
      </c>
      <c r="E106" s="32" t="n">
        <v>0.48</v>
      </c>
      <c r="F106" s="29" t="n">
        <v>0.008199999999999999</v>
      </c>
      <c r="G106" s="29" t="n">
        <v>0.09789999999999999</v>
      </c>
      <c r="H106" s="32" t="n">
        <v>58.82</v>
      </c>
      <c r="I106" s="27" t="inlineStr">
        <is>
          <t>2026/09/02</t>
        </is>
      </c>
      <c r="J106" s="27" t="inlineStr">
        <is>
          <t>2026/09/15</t>
        </is>
      </c>
      <c r="K106" s="38" t="inlineStr">
        <is>
          <t>已填息 (16天)</t>
        </is>
      </c>
      <c r="L106" s="34" t="n">
        <v>16</v>
      </c>
      <c r="M106" s="29" t="n">
        <v>1</v>
      </c>
      <c r="N106" s="31" t="n">
        <v>0</v>
      </c>
      <c r="O106" s="26" t="inlineStr">
        <is>
          <t>月配</t>
        </is>
      </c>
    </row>
    <row r="107" ht="19" customHeight="1">
      <c r="A107" s="20" t="inlineStr">
        <is>
          <t>共同基金</t>
        </is>
      </c>
      <c r="B107" s="20" t="inlineStr">
        <is>
          <t>CM</t>
        </is>
      </c>
      <c r="C107" s="21" t="inlineStr">
        <is>
          <t>國泰台灣高股息基金(新台幣)-B</t>
        </is>
      </c>
      <c r="D107" s="20" t="inlineStr">
        <is>
          <t>2026/07</t>
        </is>
      </c>
      <c r="E107" s="35" t="n">
        <v>0.48</v>
      </c>
      <c r="F107" s="23" t="n">
        <v>0.009399999999999999</v>
      </c>
      <c r="G107" s="23" t="n">
        <v>0.1132</v>
      </c>
      <c r="H107" s="35" t="n">
        <v>50.88</v>
      </c>
      <c r="I107" s="21" t="inlineStr">
        <is>
          <t>2026/08/04</t>
        </is>
      </c>
      <c r="J107" s="21" t="inlineStr">
        <is>
          <t>2026/08/17</t>
        </is>
      </c>
      <c r="K107" s="36" t="inlineStr">
        <is>
          <t>已填息 (1天)</t>
        </is>
      </c>
      <c r="L107" s="37" t="n">
        <v>1</v>
      </c>
      <c r="M107" s="23" t="n">
        <v>1</v>
      </c>
      <c r="N107" s="25" t="n">
        <v>0</v>
      </c>
      <c r="O107" s="20" t="inlineStr">
        <is>
          <t>月配</t>
        </is>
      </c>
    </row>
    <row r="108" ht="19" customHeight="1">
      <c r="A108" s="26" t="inlineStr">
        <is>
          <t>共同基金</t>
        </is>
      </c>
      <c r="B108" s="26" t="inlineStr">
        <is>
          <t>CM</t>
        </is>
      </c>
      <c r="C108" s="27" t="inlineStr">
        <is>
          <t>國泰台灣高股息基金(新台幣)-B</t>
        </is>
      </c>
      <c r="D108" s="26" t="inlineStr">
        <is>
          <t>2026/06</t>
        </is>
      </c>
      <c r="E108" s="32" t="n">
        <v>0.48</v>
      </c>
      <c r="F108" s="29" t="n">
        <v>0.0083</v>
      </c>
      <c r="G108" s="29" t="n">
        <v>0.09939999999999999</v>
      </c>
      <c r="H108" s="32" t="n">
        <v>57.94</v>
      </c>
      <c r="I108" s="27" t="inlineStr">
        <is>
          <t>2026/07/02</t>
        </is>
      </c>
      <c r="J108" s="27" t="inlineStr">
        <is>
          <t>2026/07/15</t>
        </is>
      </c>
      <c r="K108" s="38" t="inlineStr">
        <is>
          <t>已填息 (2天)</t>
        </is>
      </c>
      <c r="L108" s="34" t="n">
        <v>2</v>
      </c>
      <c r="M108" s="29" t="n">
        <v>1</v>
      </c>
      <c r="N108" s="31" t="n">
        <v>0</v>
      </c>
      <c r="O108" s="26" t="inlineStr">
        <is>
          <t>月配</t>
        </is>
      </c>
    </row>
    <row r="109" ht="19" customHeight="1">
      <c r="A109" s="20" t="inlineStr">
        <is>
          <t>共同基金</t>
        </is>
      </c>
      <c r="B109" s="20" t="inlineStr">
        <is>
          <t>CM</t>
        </is>
      </c>
      <c r="C109" s="21" t="inlineStr">
        <is>
          <t>國泰台灣高股息基金(新台幣)-B</t>
        </is>
      </c>
      <c r="D109" s="20" t="inlineStr">
        <is>
          <t>2026/05</t>
        </is>
      </c>
      <c r="E109" s="35" t="n">
        <v>0.268</v>
      </c>
      <c r="F109" s="23" t="n">
        <v>0.0046</v>
      </c>
      <c r="G109" s="23" t="n">
        <v>0.0557</v>
      </c>
      <c r="H109" s="35" t="n">
        <v>57.78</v>
      </c>
      <c r="I109" s="21" t="inlineStr">
        <is>
          <t>2026/06/02</t>
        </is>
      </c>
      <c r="J109" s="21" t="inlineStr">
        <is>
          <t>2026/06/15</t>
        </is>
      </c>
      <c r="K109" s="36" t="inlineStr">
        <is>
          <t>已填息 (2天)</t>
        </is>
      </c>
      <c r="L109" s="37" t="n">
        <v>2</v>
      </c>
      <c r="M109" s="23" t="n">
        <v>1</v>
      </c>
      <c r="N109" s="25" t="n">
        <v>0</v>
      </c>
      <c r="O109" s="20" t="inlineStr">
        <is>
          <t>月配</t>
        </is>
      </c>
    </row>
    <row r="110" ht="19" customHeight="1">
      <c r="A110" s="26" t="inlineStr">
        <is>
          <t>共同基金</t>
        </is>
      </c>
      <c r="B110" s="26" t="inlineStr">
        <is>
          <t>CM</t>
        </is>
      </c>
      <c r="C110" s="27" t="inlineStr">
        <is>
          <t>國泰台灣高股息基金(新台幣)-B</t>
        </is>
      </c>
      <c r="D110" s="26" t="inlineStr">
        <is>
          <t>2026/04</t>
        </is>
      </c>
      <c r="E110" s="32" t="n">
        <v>0.268</v>
      </c>
      <c r="F110" s="29" t="n">
        <v>0.005</v>
      </c>
      <c r="G110" s="29" t="n">
        <v>0.0605</v>
      </c>
      <c r="H110" s="32" t="n">
        <v>53.18</v>
      </c>
      <c r="I110" s="27" t="inlineStr">
        <is>
          <t>2026/05/05</t>
        </is>
      </c>
      <c r="J110" s="27" t="inlineStr">
        <is>
          <t>2026/05/18</t>
        </is>
      </c>
      <c r="K110" s="38" t="inlineStr">
        <is>
          <t>已填息 (2天)</t>
        </is>
      </c>
      <c r="L110" s="34" t="n">
        <v>2</v>
      </c>
      <c r="M110" s="29" t="n">
        <v>1</v>
      </c>
      <c r="N110" s="31" t="n">
        <v>0</v>
      </c>
      <c r="O110" s="26" t="inlineStr">
        <is>
          <t>月配</t>
        </is>
      </c>
    </row>
    <row r="111" ht="19" customHeight="1">
      <c r="A111" s="20" t="inlineStr">
        <is>
          <t>共同基金</t>
        </is>
      </c>
      <c r="B111" s="20" t="inlineStr">
        <is>
          <t>CM</t>
        </is>
      </c>
      <c r="C111" s="21" t="inlineStr">
        <is>
          <t>國泰台灣高股息基金(新台幣)-B</t>
        </is>
      </c>
      <c r="D111" s="20" t="inlineStr">
        <is>
          <t>2026/03</t>
        </is>
      </c>
      <c r="E111" s="35" t="n">
        <v>0.268</v>
      </c>
      <c r="F111" s="23" t="n">
        <v>0.0068</v>
      </c>
      <c r="G111" s="23" t="n">
        <v>0.0819</v>
      </c>
      <c r="H111" s="35" t="n">
        <v>39.25</v>
      </c>
      <c r="I111" s="21" t="inlineStr">
        <is>
          <t>2026/04/02</t>
        </is>
      </c>
      <c r="J111" s="21" t="inlineStr">
        <is>
          <t>2026/04/17</t>
        </is>
      </c>
      <c r="K111" s="36" t="inlineStr">
        <is>
          <t>已填息 (2天)</t>
        </is>
      </c>
      <c r="L111" s="37" t="n">
        <v>2</v>
      </c>
      <c r="M111" s="23" t="n">
        <v>1</v>
      </c>
      <c r="N111" s="25" t="n">
        <v>0</v>
      </c>
      <c r="O111" s="20" t="inlineStr">
        <is>
          <t>月配</t>
        </is>
      </c>
    </row>
    <row r="112" ht="19" customHeight="1">
      <c r="A112" s="26" t="inlineStr">
        <is>
          <t>共同基金</t>
        </is>
      </c>
      <c r="B112" s="26" t="inlineStr">
        <is>
          <t>CM</t>
        </is>
      </c>
      <c r="C112" s="27" t="inlineStr">
        <is>
          <t>國泰台灣高股息基金(新台幣)-B</t>
        </is>
      </c>
      <c r="D112" s="26" t="inlineStr">
        <is>
          <t>2026/02</t>
        </is>
      </c>
      <c r="E112" s="32" t="n">
        <v>0.238</v>
      </c>
      <c r="F112" s="29" t="n">
        <v>0.0062</v>
      </c>
      <c r="G112" s="29" t="n">
        <v>0.0745</v>
      </c>
      <c r="H112" s="32" t="n">
        <v>38.34</v>
      </c>
      <c r="I112" s="27" t="inlineStr">
        <is>
          <t>2026/03/03</t>
        </is>
      </c>
      <c r="J112" s="27" t="inlineStr">
        <is>
          <t>2026/03/16</t>
        </is>
      </c>
      <c r="K112" s="38" t="inlineStr">
        <is>
          <t>已填息 (11天)</t>
        </is>
      </c>
      <c r="L112" s="34" t="n">
        <v>11</v>
      </c>
      <c r="M112" s="29" t="n">
        <v>1</v>
      </c>
      <c r="N112" s="31" t="n">
        <v>0</v>
      </c>
      <c r="O112" s="26" t="inlineStr">
        <is>
          <t>月配</t>
        </is>
      </c>
    </row>
    <row r="113" ht="19" customHeight="1">
      <c r="A113" s="20" t="inlineStr">
        <is>
          <t>共同基金</t>
        </is>
      </c>
      <c r="B113" s="20" t="inlineStr">
        <is>
          <t>CM</t>
        </is>
      </c>
      <c r="C113" s="21" t="inlineStr">
        <is>
          <t>國泰台灣高股息基金(新台幣)-B</t>
        </is>
      </c>
      <c r="D113" s="20" t="inlineStr">
        <is>
          <t>2026/01</t>
        </is>
      </c>
      <c r="E113" s="35" t="n">
        <v>0.238</v>
      </c>
      <c r="F113" s="23" t="n">
        <v>0.0069</v>
      </c>
      <c r="G113" s="23" t="n">
        <v>0.08310000000000001</v>
      </c>
      <c r="H113" s="35" t="n">
        <v>34.38</v>
      </c>
      <c r="I113" s="21" t="inlineStr">
        <is>
          <t>2026/02/03</t>
        </is>
      </c>
      <c r="J113" s="21" t="inlineStr">
        <is>
          <t>2026/02/13</t>
        </is>
      </c>
      <c r="K113" s="36" t="inlineStr">
        <is>
          <t>已填息 (1天)</t>
        </is>
      </c>
      <c r="L113" s="37" t="n">
        <v>1</v>
      </c>
      <c r="M113" s="23" t="n">
        <v>1</v>
      </c>
      <c r="N113" s="25" t="n">
        <v>0</v>
      </c>
      <c r="O113" s="20" t="inlineStr">
        <is>
          <t>月配</t>
        </is>
      </c>
    </row>
    <row r="114" ht="19" customHeight="1">
      <c r="A114" s="26" t="inlineStr">
        <is>
          <t>共同基金</t>
        </is>
      </c>
      <c r="B114" s="26" t="inlineStr">
        <is>
          <t>CM</t>
        </is>
      </c>
      <c r="C114" s="27" t="inlineStr">
        <is>
          <t>國泰台灣高股息基金(新台幣)-B</t>
        </is>
      </c>
      <c r="D114" s="26" t="inlineStr">
        <is>
          <t>2025/12</t>
        </is>
      </c>
      <c r="E114" s="32" t="n">
        <v>0.238</v>
      </c>
      <c r="F114" s="29" t="n">
        <v>0.0075</v>
      </c>
      <c r="G114" s="29" t="n">
        <v>0.08960000000000001</v>
      </c>
      <c r="H114" s="32" t="n">
        <v>31.87</v>
      </c>
      <c r="I114" s="27" t="inlineStr">
        <is>
          <t>2026/01/05</t>
        </is>
      </c>
      <c r="J114" s="27" t="inlineStr">
        <is>
          <t>2026/01/16</t>
        </is>
      </c>
      <c r="K114" s="38" t="inlineStr">
        <is>
          <t>已填息 (2天)</t>
        </is>
      </c>
      <c r="L114" s="34" t="n">
        <v>2</v>
      </c>
      <c r="M114" s="29" t="n">
        <v>1</v>
      </c>
      <c r="N114" s="31" t="n">
        <v>0</v>
      </c>
      <c r="O114" s="26" t="inlineStr">
        <is>
          <t>月配</t>
        </is>
      </c>
    </row>
    <row r="115" ht="19" customHeight="1">
      <c r="A115" s="20" t="inlineStr">
        <is>
          <t>共同基金</t>
        </is>
      </c>
      <c r="B115" s="20" t="inlineStr">
        <is>
          <t>C4</t>
        </is>
      </c>
      <c r="C115" s="21" t="inlineStr">
        <is>
          <t>國泰美國多重收益平衡基金(新台幣)-B</t>
        </is>
      </c>
      <c r="D115" s="20" t="inlineStr">
        <is>
          <t>2026/09</t>
        </is>
      </c>
      <c r="E115" s="35" t="n">
        <v>0.06587933</v>
      </c>
      <c r="F115" s="23" t="n">
        <v>0.0067</v>
      </c>
      <c r="G115" s="23" t="n">
        <v>0.0801</v>
      </c>
      <c r="H115" s="35" t="n">
        <v>9.8742</v>
      </c>
      <c r="I115" s="21" t="inlineStr">
        <is>
          <t>2026/10/02</t>
        </is>
      </c>
      <c r="J115" s="21" t="inlineStr">
        <is>
          <t>2026/10/16</t>
        </is>
      </c>
      <c r="K115" s="36" t="inlineStr">
        <is>
          <t>已填息 (1天)</t>
        </is>
      </c>
      <c r="L115" s="37" t="n">
        <v>1</v>
      </c>
      <c r="M115" s="23" t="n">
        <v>1</v>
      </c>
      <c r="N115" s="25" t="n">
        <v>0</v>
      </c>
      <c r="O115" s="20" t="inlineStr">
        <is>
          <t>月配</t>
        </is>
      </c>
    </row>
    <row r="116" ht="19" customHeight="1">
      <c r="A116" s="26" t="inlineStr">
        <is>
          <t>共同基金</t>
        </is>
      </c>
      <c r="B116" s="26" t="inlineStr">
        <is>
          <t>C4</t>
        </is>
      </c>
      <c r="C116" s="27" t="inlineStr">
        <is>
          <t>國泰美國多重收益平衡基金(新台幣)-B</t>
        </is>
      </c>
      <c r="D116" s="26" t="inlineStr">
        <is>
          <t>2026/08</t>
        </is>
      </c>
      <c r="E116" s="32" t="n">
        <v>0.06667932999999999</v>
      </c>
      <c r="F116" s="29" t="n">
        <v>0.0067</v>
      </c>
      <c r="G116" s="29" t="n">
        <v>0.0806</v>
      </c>
      <c r="H116" s="32" t="n">
        <v>9.933</v>
      </c>
      <c r="I116" s="27" t="inlineStr">
        <is>
          <t>2026/09/02</t>
        </is>
      </c>
      <c r="J116" s="27" t="inlineStr">
        <is>
          <t>2026/09/15</t>
        </is>
      </c>
      <c r="K116" s="38" t="inlineStr">
        <is>
          <t>已填息 (2天)</t>
        </is>
      </c>
      <c r="L116" s="34" t="n">
        <v>2</v>
      </c>
      <c r="M116" s="29" t="n">
        <v>1</v>
      </c>
      <c r="N116" s="31" t="n">
        <v>0</v>
      </c>
      <c r="O116" s="26" t="inlineStr">
        <is>
          <t>月配</t>
        </is>
      </c>
    </row>
    <row r="117" ht="19" customHeight="1">
      <c r="A117" s="20" t="inlineStr">
        <is>
          <t>共同基金</t>
        </is>
      </c>
      <c r="B117" s="20" t="inlineStr">
        <is>
          <t>C4</t>
        </is>
      </c>
      <c r="C117" s="21" t="inlineStr">
        <is>
          <t>國泰美國多重收益平衡基金(新台幣)-B</t>
        </is>
      </c>
      <c r="D117" s="20" t="inlineStr">
        <is>
          <t>2026/07</t>
        </is>
      </c>
      <c r="E117" s="35" t="n">
        <v>0.066972</v>
      </c>
      <c r="F117" s="23" t="n">
        <v>0.0066</v>
      </c>
      <c r="G117" s="23" t="n">
        <v>0.079</v>
      </c>
      <c r="H117" s="35" t="n">
        <v>10.1733</v>
      </c>
      <c r="I117" s="21" t="inlineStr">
        <is>
          <t>2026/08/04</t>
        </is>
      </c>
      <c r="J117" s="21" t="inlineStr">
        <is>
          <t>2026/08/17</t>
        </is>
      </c>
      <c r="K117" s="36" t="inlineStr">
        <is>
          <t>已填息 (1天)</t>
        </is>
      </c>
      <c r="L117" s="37" t="n">
        <v>1</v>
      </c>
      <c r="M117" s="23" t="n">
        <v>1</v>
      </c>
      <c r="N117" s="25" t="n">
        <v>0</v>
      </c>
      <c r="O117" s="20" t="inlineStr">
        <is>
          <t>月配</t>
        </is>
      </c>
    </row>
    <row r="118" ht="19" customHeight="1">
      <c r="A118" s="26" t="inlineStr">
        <is>
          <t>共同基金</t>
        </is>
      </c>
      <c r="B118" s="26" t="inlineStr">
        <is>
          <t>C4</t>
        </is>
      </c>
      <c r="C118" s="27" t="inlineStr">
        <is>
          <t>國泰美國多重收益平衡基金(新台幣)-B</t>
        </is>
      </c>
      <c r="D118" s="26" t="inlineStr">
        <is>
          <t>2026/06</t>
        </is>
      </c>
      <c r="E118" s="32" t="n">
        <v>0.068832</v>
      </c>
      <c r="F118" s="29" t="n">
        <v>0.0067</v>
      </c>
      <c r="G118" s="29" t="n">
        <v>0.08070000000000001</v>
      </c>
      <c r="H118" s="32" t="n">
        <v>10.2399</v>
      </c>
      <c r="I118" s="27" t="inlineStr">
        <is>
          <t>2026/07/02</t>
        </is>
      </c>
      <c r="J118" s="27" t="inlineStr">
        <is>
          <t>2026/07/15</t>
        </is>
      </c>
      <c r="K118" s="38" t="inlineStr">
        <is>
          <t>已填息 (5天)</t>
        </is>
      </c>
      <c r="L118" s="34" t="n">
        <v>5</v>
      </c>
      <c r="M118" s="29" t="n">
        <v>1</v>
      </c>
      <c r="N118" s="31" t="n">
        <v>0</v>
      </c>
      <c r="O118" s="26" t="inlineStr">
        <is>
          <t>月配</t>
        </is>
      </c>
    </row>
    <row r="119" ht="19" customHeight="1">
      <c r="A119" s="20" t="inlineStr">
        <is>
          <t>共同基金</t>
        </is>
      </c>
      <c r="B119" s="20" t="inlineStr">
        <is>
          <t>C4</t>
        </is>
      </c>
      <c r="C119" s="21" t="inlineStr">
        <is>
          <t>國泰美國多重收益平衡基金(新台幣)-B</t>
        </is>
      </c>
      <c r="D119" s="20" t="inlineStr">
        <is>
          <t>2026/05</t>
        </is>
      </c>
      <c r="E119" s="35" t="n">
        <v>0.06865665999999999</v>
      </c>
      <c r="F119" s="23" t="n">
        <v>0.0067</v>
      </c>
      <c r="G119" s="23" t="n">
        <v>0.07980000000000001</v>
      </c>
      <c r="H119" s="35" t="n">
        <v>10.3231</v>
      </c>
      <c r="I119" s="21" t="inlineStr">
        <is>
          <t>2026/06/02</t>
        </is>
      </c>
      <c r="J119" s="21" t="inlineStr">
        <is>
          <t>2026/06/15</t>
        </is>
      </c>
      <c r="K119" s="36" t="inlineStr">
        <is>
          <t>已填息 (10天)</t>
        </is>
      </c>
      <c r="L119" s="37" t="n">
        <v>10</v>
      </c>
      <c r="M119" s="23" t="n">
        <v>1</v>
      </c>
      <c r="N119" s="25" t="n">
        <v>0</v>
      </c>
      <c r="O119" s="20" t="inlineStr">
        <is>
          <t>月配</t>
        </is>
      </c>
    </row>
    <row r="120" ht="19" customHeight="1">
      <c r="A120" s="26" t="inlineStr">
        <is>
          <t>共同基金</t>
        </is>
      </c>
      <c r="B120" s="26" t="inlineStr">
        <is>
          <t>C4</t>
        </is>
      </c>
      <c r="C120" s="27" t="inlineStr">
        <is>
          <t>國泰美國多重收益平衡基金(新台幣)-B</t>
        </is>
      </c>
      <c r="D120" s="26" t="inlineStr">
        <is>
          <t>2026/04</t>
        </is>
      </c>
      <c r="E120" s="32" t="n">
        <v>0.06751799999999999</v>
      </c>
      <c r="F120" s="29" t="n">
        <v>0.0067</v>
      </c>
      <c r="G120" s="29" t="n">
        <v>0.0803</v>
      </c>
      <c r="H120" s="32" t="n">
        <v>10.094</v>
      </c>
      <c r="I120" s="27" t="inlineStr">
        <is>
          <t>2026/05/05</t>
        </is>
      </c>
      <c r="J120" s="27" t="inlineStr">
        <is>
          <t>2026/05/18</t>
        </is>
      </c>
      <c r="K120" s="38" t="inlineStr">
        <is>
          <t>已填息 (2天)</t>
        </is>
      </c>
      <c r="L120" s="34" t="n">
        <v>2</v>
      </c>
      <c r="M120" s="29" t="n">
        <v>1</v>
      </c>
      <c r="N120" s="31" t="n">
        <v>0</v>
      </c>
      <c r="O120" s="26" t="inlineStr">
        <is>
          <t>月配</t>
        </is>
      </c>
    </row>
    <row r="121" ht="19" customHeight="1">
      <c r="A121" s="20" t="inlineStr">
        <is>
          <t>共同基金</t>
        </is>
      </c>
      <c r="B121" s="20" t="inlineStr">
        <is>
          <t>C4</t>
        </is>
      </c>
      <c r="C121" s="21" t="inlineStr">
        <is>
          <t>國泰美國多重收益平衡基金(新台幣)-B</t>
        </is>
      </c>
      <c r="D121" s="20" t="inlineStr">
        <is>
          <t>2026/03</t>
        </is>
      </c>
      <c r="E121" s="35" t="n">
        <v>0.064874</v>
      </c>
      <c r="F121" s="23" t="n">
        <v>0.0066</v>
      </c>
      <c r="G121" s="23" t="n">
        <v>0.0795</v>
      </c>
      <c r="H121" s="35" t="n">
        <v>9.789300000000001</v>
      </c>
      <c r="I121" s="21" t="inlineStr">
        <is>
          <t>2026/04/02</t>
        </is>
      </c>
      <c r="J121" s="21" t="inlineStr">
        <is>
          <t>2026/04/17</t>
        </is>
      </c>
      <c r="K121" s="36" t="inlineStr">
        <is>
          <t>已填息 (3天)</t>
        </is>
      </c>
      <c r="L121" s="37" t="n">
        <v>3</v>
      </c>
      <c r="M121" s="23" t="n">
        <v>1</v>
      </c>
      <c r="N121" s="25" t="n">
        <v>0</v>
      </c>
      <c r="O121" s="20" t="inlineStr">
        <is>
          <t>月配</t>
        </is>
      </c>
    </row>
    <row r="122" ht="19" customHeight="1">
      <c r="A122" s="26" t="inlineStr">
        <is>
          <t>共同基金</t>
        </is>
      </c>
      <c r="B122" s="26" t="inlineStr">
        <is>
          <t>C4</t>
        </is>
      </c>
      <c r="C122" s="27" t="inlineStr">
        <is>
          <t>國泰美國多重收益平衡基金(新台幣)-B</t>
        </is>
      </c>
      <c r="D122" s="26" t="inlineStr">
        <is>
          <t>2026/02</t>
        </is>
      </c>
      <c r="E122" s="32" t="n">
        <v>0.06217564</v>
      </c>
      <c r="F122" s="29" t="n">
        <v>0.0062</v>
      </c>
      <c r="G122" s="29" t="n">
        <v>0.07389999999999999</v>
      </c>
      <c r="H122" s="32" t="n">
        <v>10.0948</v>
      </c>
      <c r="I122" s="27" t="inlineStr">
        <is>
          <t>2026/03/03</t>
        </is>
      </c>
      <c r="J122" s="27" t="inlineStr">
        <is>
          <t>2026/03/16</t>
        </is>
      </c>
      <c r="K122" s="38" t="inlineStr">
        <is>
          <t>已填息 (32天)</t>
        </is>
      </c>
      <c r="L122" s="34" t="n">
        <v>32</v>
      </c>
      <c r="M122" s="29" t="n">
        <v>1</v>
      </c>
      <c r="N122" s="31" t="n">
        <v>0</v>
      </c>
      <c r="O122" s="26" t="inlineStr">
        <is>
          <t>月配</t>
        </is>
      </c>
    </row>
    <row r="123" ht="19" customHeight="1">
      <c r="A123" s="20" t="inlineStr">
        <is>
          <t>共同基金</t>
        </is>
      </c>
      <c r="B123" s="20" t="inlineStr">
        <is>
          <t>C4</t>
        </is>
      </c>
      <c r="C123" s="21" t="inlineStr">
        <is>
          <t>國泰美國多重收益平衡基金(新台幣)-B</t>
        </is>
      </c>
      <c r="D123" s="20" t="inlineStr">
        <is>
          <t>2026/01</t>
        </is>
      </c>
      <c r="E123" s="35" t="n">
        <v>0.06917841</v>
      </c>
      <c r="F123" s="23" t="n">
        <v>0.0068</v>
      </c>
      <c r="G123" s="23" t="n">
        <v>0.08109999999999999</v>
      </c>
      <c r="H123" s="35" t="n">
        <v>10.2421</v>
      </c>
      <c r="I123" s="21" t="inlineStr">
        <is>
          <t>2026/02/03</t>
        </is>
      </c>
      <c r="J123" s="21" t="inlineStr">
        <is>
          <t>2026/02/13</t>
        </is>
      </c>
      <c r="K123" s="36" t="inlineStr">
        <is>
          <t>已填息 (64天)</t>
        </is>
      </c>
      <c r="L123" s="37" t="n">
        <v>64</v>
      </c>
      <c r="M123" s="23" t="n">
        <v>1</v>
      </c>
      <c r="N123" s="25" t="n">
        <v>0</v>
      </c>
      <c r="O123" s="20" t="inlineStr">
        <is>
          <t>月配</t>
        </is>
      </c>
    </row>
    <row r="124" ht="19" customHeight="1">
      <c r="A124" s="26" t="inlineStr">
        <is>
          <t>共同基金</t>
        </is>
      </c>
      <c r="B124" s="26" t="inlineStr">
        <is>
          <t>C4</t>
        </is>
      </c>
      <c r="C124" s="27" t="inlineStr">
        <is>
          <t>國泰美國多重收益平衡基金(新台幣)-B</t>
        </is>
      </c>
      <c r="D124" s="26" t="inlineStr">
        <is>
          <t>2025/12</t>
        </is>
      </c>
      <c r="E124" s="32" t="n">
        <v>0.06930886</v>
      </c>
      <c r="F124" s="29" t="n">
        <v>0.0068</v>
      </c>
      <c r="G124" s="29" t="n">
        <v>0.0815</v>
      </c>
      <c r="H124" s="32" t="n">
        <v>10.1997</v>
      </c>
      <c r="I124" s="27" t="inlineStr">
        <is>
          <t>2026/01/05</t>
        </is>
      </c>
      <c r="J124" s="27" t="inlineStr">
        <is>
          <t>2026/01/16</t>
        </is>
      </c>
      <c r="K124" s="38" t="inlineStr">
        <is>
          <t>已填息 (3天)</t>
        </is>
      </c>
      <c r="L124" s="34" t="n">
        <v>3</v>
      </c>
      <c r="M124" s="29" t="n">
        <v>1</v>
      </c>
      <c r="N124" s="31" t="n">
        <v>0</v>
      </c>
      <c r="O124" s="26" t="inlineStr">
        <is>
          <t>月配</t>
        </is>
      </c>
    </row>
    <row r="125" ht="19" customHeight="1">
      <c r="A125" s="20" t="inlineStr">
        <is>
          <t>共同基金</t>
        </is>
      </c>
      <c r="B125" s="20" t="inlineStr">
        <is>
          <t>AO</t>
        </is>
      </c>
      <c r="C125" s="21" t="inlineStr">
        <is>
          <t>國泰主順位資產抵押非投資等級債券基金(新台幣)-B</t>
        </is>
      </c>
      <c r="D125" s="20" t="inlineStr">
        <is>
          <t>2026/09</t>
        </is>
      </c>
      <c r="E125" s="35" t="n">
        <v>0.04162805</v>
      </c>
      <c r="F125" s="23" t="n">
        <v>0.0053</v>
      </c>
      <c r="G125" s="23" t="n">
        <v>0.06370000000000001</v>
      </c>
      <c r="H125" s="35" t="n">
        <v>7.8428</v>
      </c>
      <c r="I125" s="21" t="inlineStr">
        <is>
          <t>2026/10/02</t>
        </is>
      </c>
      <c r="J125" s="21" t="inlineStr">
        <is>
          <t>2026/10/16</t>
        </is>
      </c>
      <c r="K125" s="36" t="inlineStr">
        <is>
          <t>已填息 (6天)</t>
        </is>
      </c>
      <c r="L125" s="37" t="n">
        <v>6</v>
      </c>
      <c r="M125" s="23" t="n">
        <v>1</v>
      </c>
      <c r="N125" s="25" t="n">
        <v>0</v>
      </c>
      <c r="O125" s="20" t="inlineStr">
        <is>
          <t>月配</t>
        </is>
      </c>
    </row>
    <row r="126" ht="19" customHeight="1">
      <c r="A126" s="26" t="inlineStr">
        <is>
          <t>共同基金</t>
        </is>
      </c>
      <c r="B126" s="26" t="inlineStr">
        <is>
          <t>AO</t>
        </is>
      </c>
      <c r="C126" s="27" t="inlineStr">
        <is>
          <t>國泰主順位資產抵押非投資等級債券基金(新台幣)-B</t>
        </is>
      </c>
      <c r="D126" s="26" t="inlineStr">
        <is>
          <t>2026/08</t>
        </is>
      </c>
      <c r="E126" s="32" t="n">
        <v>0.04360507</v>
      </c>
      <c r="F126" s="29" t="n">
        <v>0.0054</v>
      </c>
      <c r="G126" s="29" t="n">
        <v>0.06519999999999999</v>
      </c>
      <c r="H126" s="32" t="n">
        <v>8.0261</v>
      </c>
      <c r="I126" s="27" t="inlineStr">
        <is>
          <t>2026/09/02</t>
        </is>
      </c>
      <c r="J126" s="27" t="inlineStr">
        <is>
          <t>2026/09/15</t>
        </is>
      </c>
      <c r="K126" s="33" t="inlineStr">
        <is>
          <t>尚未填息 (貼息中)</t>
        </is>
      </c>
      <c r="L126" s="34" t="n">
        <v/>
      </c>
      <c r="M126" s="29" t="n">
        <v>1</v>
      </c>
      <c r="N126" s="31" t="n">
        <v>0</v>
      </c>
      <c r="O126" s="26" t="inlineStr">
        <is>
          <t>月配</t>
        </is>
      </c>
    </row>
    <row r="127" ht="19" customHeight="1">
      <c r="A127" s="20" t="inlineStr">
        <is>
          <t>共同基金</t>
        </is>
      </c>
      <c r="B127" s="20" t="inlineStr">
        <is>
          <t>AO</t>
        </is>
      </c>
      <c r="C127" s="21" t="inlineStr">
        <is>
          <t>國泰主順位資產抵押非投資等級債券基金(新台幣)-B</t>
        </is>
      </c>
      <c r="D127" s="20" t="inlineStr">
        <is>
          <t>2026/07</t>
        </is>
      </c>
      <c r="E127" s="35" t="n">
        <v>0.04393799</v>
      </c>
      <c r="F127" s="23" t="n">
        <v>0.0054</v>
      </c>
      <c r="G127" s="23" t="n">
        <v>0.0644</v>
      </c>
      <c r="H127" s="35" t="n">
        <v>8.182399999999999</v>
      </c>
      <c r="I127" s="21" t="inlineStr">
        <is>
          <t>2026/08/04</t>
        </is>
      </c>
      <c r="J127" s="21" t="inlineStr">
        <is>
          <t>2026/08/17</t>
        </is>
      </c>
      <c r="K127" s="39" t="inlineStr">
        <is>
          <t>尚未填息 (貼息中)</t>
        </is>
      </c>
      <c r="L127" s="37" t="n">
        <v/>
      </c>
      <c r="M127" s="23" t="n">
        <v>1</v>
      </c>
      <c r="N127" s="25" t="n">
        <v>0</v>
      </c>
      <c r="O127" s="20" t="inlineStr">
        <is>
          <t>月配</t>
        </is>
      </c>
    </row>
    <row r="128" ht="19" customHeight="1">
      <c r="A128" s="26" t="inlineStr">
        <is>
          <t>共同基金</t>
        </is>
      </c>
      <c r="B128" s="26" t="inlineStr">
        <is>
          <t>AO</t>
        </is>
      </c>
      <c r="C128" s="27" t="inlineStr">
        <is>
          <t>國泰主順位資產抵押非投資等級債券基金(新台幣)-B</t>
        </is>
      </c>
      <c r="D128" s="26" t="inlineStr">
        <is>
          <t>2026/06</t>
        </is>
      </c>
      <c r="E128" s="32" t="n">
        <v>0.04177451</v>
      </c>
      <c r="F128" s="29" t="n">
        <v>0.0052</v>
      </c>
      <c r="G128" s="29" t="n">
        <v>0.0619</v>
      </c>
      <c r="H128" s="32" t="n">
        <v>8.103199999999999</v>
      </c>
      <c r="I128" s="27" t="inlineStr">
        <is>
          <t>2026/07/02</t>
        </is>
      </c>
      <c r="J128" s="27" t="inlineStr">
        <is>
          <t>2026/07/15</t>
        </is>
      </c>
      <c r="K128" s="38" t="inlineStr">
        <is>
          <t>已填息 (2天)</t>
        </is>
      </c>
      <c r="L128" s="34" t="n">
        <v>2</v>
      </c>
      <c r="M128" s="29" t="n">
        <v>1</v>
      </c>
      <c r="N128" s="31" t="n">
        <v>0</v>
      </c>
      <c r="O128" s="26" t="inlineStr">
        <is>
          <t>月配</t>
        </is>
      </c>
    </row>
    <row r="129" ht="19" customHeight="1">
      <c r="A129" s="20" t="inlineStr">
        <is>
          <t>共同基金</t>
        </is>
      </c>
      <c r="B129" s="20" t="inlineStr">
        <is>
          <t>AO</t>
        </is>
      </c>
      <c r="C129" s="21" t="inlineStr">
        <is>
          <t>國泰主順位資產抵押非投資等級債券基金(新台幣)-B</t>
        </is>
      </c>
      <c r="D129" s="20" t="inlineStr">
        <is>
          <t>2026/05</t>
        </is>
      </c>
      <c r="E129" s="35" t="n">
        <v>0.04380169</v>
      </c>
      <c r="F129" s="23" t="n">
        <v>0.0054</v>
      </c>
      <c r="G129" s="23" t="n">
        <v>0.0654</v>
      </c>
      <c r="H129" s="35" t="n">
        <v>8.039199999999999</v>
      </c>
      <c r="I129" s="21" t="inlineStr">
        <is>
          <t>2026/06/02</t>
        </is>
      </c>
      <c r="J129" s="21" t="inlineStr">
        <is>
          <t>2026/06/15</t>
        </is>
      </c>
      <c r="K129" s="36" t="inlineStr">
        <is>
          <t>已填息 (8天)</t>
        </is>
      </c>
      <c r="L129" s="37" t="n">
        <v>8</v>
      </c>
      <c r="M129" s="23" t="n">
        <v>1</v>
      </c>
      <c r="N129" s="25" t="n">
        <v>0</v>
      </c>
      <c r="O129" s="20" t="inlineStr">
        <is>
          <t>月配</t>
        </is>
      </c>
    </row>
    <row r="130" ht="19" customHeight="1">
      <c r="A130" s="26" t="inlineStr">
        <is>
          <t>共同基金</t>
        </is>
      </c>
      <c r="B130" s="26" t="inlineStr">
        <is>
          <t>AO</t>
        </is>
      </c>
      <c r="C130" s="27" t="inlineStr">
        <is>
          <t>國泰主順位資產抵押非投資等級債券基金(新台幣)-B</t>
        </is>
      </c>
      <c r="D130" s="26" t="inlineStr">
        <is>
          <t>2026/04</t>
        </is>
      </c>
      <c r="E130" s="32" t="n">
        <v>0.04282928</v>
      </c>
      <c r="F130" s="29" t="n">
        <v>0.0053</v>
      </c>
      <c r="G130" s="29" t="n">
        <v>0.0635</v>
      </c>
      <c r="H130" s="32" t="n">
        <v>8.090999999999999</v>
      </c>
      <c r="I130" s="27" t="inlineStr">
        <is>
          <t>2026/05/05</t>
        </is>
      </c>
      <c r="J130" s="27" t="inlineStr">
        <is>
          <t>2026/05/18</t>
        </is>
      </c>
      <c r="K130" s="38" t="inlineStr">
        <is>
          <t>已填息 (36天)</t>
        </is>
      </c>
      <c r="L130" s="34" t="n">
        <v>36</v>
      </c>
      <c r="M130" s="29" t="n">
        <v>1</v>
      </c>
      <c r="N130" s="31" t="n">
        <v>0</v>
      </c>
      <c r="O130" s="26" t="inlineStr">
        <is>
          <t>月配</t>
        </is>
      </c>
    </row>
    <row r="131" ht="19" customHeight="1">
      <c r="A131" s="20" t="inlineStr">
        <is>
          <t>共同基金</t>
        </is>
      </c>
      <c r="B131" s="20" t="inlineStr">
        <is>
          <t>AO</t>
        </is>
      </c>
      <c r="C131" s="21" t="inlineStr">
        <is>
          <t>國泰主順位資產抵押非投資等級債券基金(新台幣)-B</t>
        </is>
      </c>
      <c r="D131" s="20" t="inlineStr">
        <is>
          <t>2026/03</t>
        </is>
      </c>
      <c r="E131" s="35" t="n">
        <v>0.04364449</v>
      </c>
      <c r="F131" s="23" t="n">
        <v>0.0054</v>
      </c>
      <c r="G131" s="23" t="n">
        <v>0.0645</v>
      </c>
      <c r="H131" s="35" t="n">
        <v>8.117800000000001</v>
      </c>
      <c r="I131" s="21" t="inlineStr">
        <is>
          <t>2026/04/02</t>
        </is>
      </c>
      <c r="J131" s="21" t="inlineStr">
        <is>
          <t>2026/04/17</t>
        </is>
      </c>
      <c r="K131" s="36" t="inlineStr">
        <is>
          <t>已填息 (63天)</t>
        </is>
      </c>
      <c r="L131" s="37" t="n">
        <v>63</v>
      </c>
      <c r="M131" s="23" t="n">
        <v>1</v>
      </c>
      <c r="N131" s="25" t="n">
        <v>0</v>
      </c>
      <c r="O131" s="20" t="inlineStr">
        <is>
          <t>月配</t>
        </is>
      </c>
    </row>
    <row r="132" ht="19" customHeight="1">
      <c r="A132" s="26" t="inlineStr">
        <is>
          <t>共同基金</t>
        </is>
      </c>
      <c r="B132" s="26" t="inlineStr">
        <is>
          <t>AO</t>
        </is>
      </c>
      <c r="C132" s="27" t="inlineStr">
        <is>
          <t>國泰主順位資產抵押非投資等級債券基金(新台幣)-B</t>
        </is>
      </c>
      <c r="D132" s="26" t="inlineStr">
        <is>
          <t>2026/02</t>
        </is>
      </c>
      <c r="E132" s="32" t="n">
        <v>0.03951552</v>
      </c>
      <c r="F132" s="29" t="n">
        <v>0.0049</v>
      </c>
      <c r="G132" s="29" t="n">
        <v>0.0584</v>
      </c>
      <c r="H132" s="32" t="n">
        <v>8.122999999999999</v>
      </c>
      <c r="I132" s="27" t="inlineStr">
        <is>
          <t>2026/03/03</t>
        </is>
      </c>
      <c r="J132" s="27" t="inlineStr">
        <is>
          <t>2026/03/16</t>
        </is>
      </c>
      <c r="K132" s="38" t="inlineStr">
        <is>
          <t>已填息 (2天)</t>
        </is>
      </c>
      <c r="L132" s="34" t="n">
        <v>2</v>
      </c>
      <c r="M132" s="29" t="n">
        <v>1</v>
      </c>
      <c r="N132" s="31" t="n">
        <v>0</v>
      </c>
      <c r="O132" s="26" t="inlineStr">
        <is>
          <t>月配</t>
        </is>
      </c>
    </row>
    <row r="133" ht="19" customHeight="1">
      <c r="A133" s="20" t="inlineStr">
        <is>
          <t>共同基金</t>
        </is>
      </c>
      <c r="B133" s="20" t="inlineStr">
        <is>
          <t>AO</t>
        </is>
      </c>
      <c r="C133" s="21" t="inlineStr">
        <is>
          <t>國泰主順位資產抵押非投資等級債券基金(新台幣)-B</t>
        </is>
      </c>
      <c r="D133" s="20" t="inlineStr">
        <is>
          <t>2026/01</t>
        </is>
      </c>
      <c r="E133" s="35" t="n">
        <v>0.04376946</v>
      </c>
      <c r="F133" s="23" t="n">
        <v>0.0053</v>
      </c>
      <c r="G133" s="23" t="n">
        <v>0.0639</v>
      </c>
      <c r="H133" s="35" t="n">
        <v>8.2225</v>
      </c>
      <c r="I133" s="21" t="inlineStr">
        <is>
          <t>2026/02/03</t>
        </is>
      </c>
      <c r="J133" s="21" t="inlineStr">
        <is>
          <t>2026/02/13</t>
        </is>
      </c>
      <c r="K133" s="39" t="inlineStr">
        <is>
          <t>尚未填息 (貼息中)</t>
        </is>
      </c>
      <c r="L133" s="37" t="n">
        <v/>
      </c>
      <c r="M133" s="23" t="n">
        <v>1</v>
      </c>
      <c r="N133" s="25" t="n">
        <v>0</v>
      </c>
      <c r="O133" s="20" t="inlineStr">
        <is>
          <t>月配</t>
        </is>
      </c>
    </row>
    <row r="134" ht="19" customHeight="1">
      <c r="A134" s="26" t="inlineStr">
        <is>
          <t>共同基金</t>
        </is>
      </c>
      <c r="B134" s="26" t="inlineStr">
        <is>
          <t>AO</t>
        </is>
      </c>
      <c r="C134" s="27" t="inlineStr">
        <is>
          <t>國泰主順位資產抵押非投資等級債券基金(新台幣)-B</t>
        </is>
      </c>
      <c r="D134" s="26" t="inlineStr">
        <is>
          <t>2025/12</t>
        </is>
      </c>
      <c r="E134" s="32" t="n">
        <v>0.04426441</v>
      </c>
      <c r="F134" s="29" t="n">
        <v>0.0054</v>
      </c>
      <c r="G134" s="29" t="n">
        <v>0.06469999999999999</v>
      </c>
      <c r="H134" s="32" t="n">
        <v>8.2121</v>
      </c>
      <c r="I134" s="27" t="inlineStr">
        <is>
          <t>2026/01/05</t>
        </is>
      </c>
      <c r="J134" s="27" t="inlineStr">
        <is>
          <t>2026/01/16</t>
        </is>
      </c>
      <c r="K134" s="38" t="inlineStr">
        <is>
          <t>已填息 (4天)</t>
        </is>
      </c>
      <c r="L134" s="34" t="n">
        <v>4</v>
      </c>
      <c r="M134" s="29" t="n">
        <v>1</v>
      </c>
      <c r="N134" s="31" t="n">
        <v>0</v>
      </c>
      <c r="O134" s="26" t="inlineStr">
        <is>
          <t>月配</t>
        </is>
      </c>
    </row>
    <row r="135" ht="19" customHeight="1">
      <c r="A135" s="20" t="inlineStr">
        <is>
          <t>共同基金</t>
        </is>
      </c>
      <c r="B135" s="20" t="inlineStr">
        <is>
          <t>DH</t>
        </is>
      </c>
      <c r="C135" s="21" t="inlineStr">
        <is>
          <t>國泰美國優質債券基金(新台幣)-B</t>
        </is>
      </c>
      <c r="D135" s="20" t="inlineStr">
        <is>
          <t>2026/09</t>
        </is>
      </c>
      <c r="E135" s="35" t="n">
        <v>0.0554</v>
      </c>
      <c r="F135" s="23" t="n">
        <v>0.0067</v>
      </c>
      <c r="G135" s="23" t="n">
        <v>0.08</v>
      </c>
      <c r="H135" s="35" t="n">
        <v>8.307399999999999</v>
      </c>
      <c r="I135" s="21" t="inlineStr">
        <is>
          <t>2026/10/02</t>
        </is>
      </c>
      <c r="J135" s="21" t="inlineStr">
        <is>
          <t>2026/10/16</t>
        </is>
      </c>
      <c r="K135" s="36" t="inlineStr">
        <is>
          <t>已填息 (6天)</t>
        </is>
      </c>
      <c r="L135" s="37" t="n">
        <v>6</v>
      </c>
      <c r="M135" s="23" t="n">
        <v>0.4679</v>
      </c>
      <c r="N135" s="23" t="n">
        <v>0.5321</v>
      </c>
      <c r="O135" s="20" t="inlineStr">
        <is>
          <t>月配</t>
        </is>
      </c>
    </row>
    <row r="136" ht="19" customHeight="1">
      <c r="A136" s="26" t="inlineStr">
        <is>
          <t>共同基金</t>
        </is>
      </c>
      <c r="B136" s="26" t="inlineStr">
        <is>
          <t>DH</t>
        </is>
      </c>
      <c r="C136" s="27" t="inlineStr">
        <is>
          <t>國泰美國優質債券基金(新台幣)-B</t>
        </is>
      </c>
      <c r="D136" s="26" t="inlineStr">
        <is>
          <t>2026/08</t>
        </is>
      </c>
      <c r="E136" s="32" t="n">
        <v>0.0574</v>
      </c>
      <c r="F136" s="29" t="n">
        <v>0.0067</v>
      </c>
      <c r="G136" s="29" t="n">
        <v>0.08039999999999999</v>
      </c>
      <c r="H136" s="32" t="n">
        <v>8.5708</v>
      </c>
      <c r="I136" s="27" t="inlineStr">
        <is>
          <t>2026/09/02</t>
        </is>
      </c>
      <c r="J136" s="27" t="inlineStr">
        <is>
          <t>2026/09/15</t>
        </is>
      </c>
      <c r="K136" s="38" t="inlineStr">
        <is>
          <t>已填息 (2天)</t>
        </is>
      </c>
      <c r="L136" s="34" t="n">
        <v>2</v>
      </c>
      <c r="M136" s="29" t="n">
        <v>0.541</v>
      </c>
      <c r="N136" s="29" t="n">
        <v>0.459</v>
      </c>
      <c r="O136" s="26" t="inlineStr">
        <is>
          <t>月配</t>
        </is>
      </c>
    </row>
    <row r="137" ht="19" customHeight="1">
      <c r="A137" s="20" t="inlineStr">
        <is>
          <t>共同基金</t>
        </is>
      </c>
      <c r="B137" s="20" t="inlineStr">
        <is>
          <t>DH</t>
        </is>
      </c>
      <c r="C137" s="21" t="inlineStr">
        <is>
          <t>國泰美國優質債券基金(新台幣)-B</t>
        </is>
      </c>
      <c r="D137" s="20" t="inlineStr">
        <is>
          <t>2026/07</t>
        </is>
      </c>
      <c r="E137" s="35" t="n">
        <v>0.0583</v>
      </c>
      <c r="F137" s="23" t="n">
        <v>0.0066</v>
      </c>
      <c r="G137" s="23" t="n">
        <v>0.0795</v>
      </c>
      <c r="H137" s="35" t="n">
        <v>8.8042</v>
      </c>
      <c r="I137" s="21" t="inlineStr">
        <is>
          <t>2026/08/04</t>
        </is>
      </c>
      <c r="J137" s="21" t="inlineStr">
        <is>
          <t>2026/08/17</t>
        </is>
      </c>
      <c r="K137" s="39" t="inlineStr">
        <is>
          <t>尚未填息 (貼息中)</t>
        </is>
      </c>
      <c r="L137" s="37" t="n">
        <v/>
      </c>
      <c r="M137" s="23" t="n">
        <v>0.46</v>
      </c>
      <c r="N137" s="23" t="n">
        <v>0.54</v>
      </c>
      <c r="O137" s="20" t="inlineStr">
        <is>
          <t>月配</t>
        </is>
      </c>
    </row>
    <row r="138" ht="19" customHeight="1">
      <c r="A138" s="26" t="inlineStr">
        <is>
          <t>共同基金</t>
        </is>
      </c>
      <c r="B138" s="26" t="inlineStr">
        <is>
          <t>DH</t>
        </is>
      </c>
      <c r="C138" s="27" t="inlineStr">
        <is>
          <t>國泰美國優質債券基金(新台幣)-B</t>
        </is>
      </c>
      <c r="D138" s="26" t="inlineStr">
        <is>
          <t>2026/06</t>
        </is>
      </c>
      <c r="E138" s="32" t="n">
        <v>0.0591</v>
      </c>
      <c r="F138" s="29" t="n">
        <v>0.0067</v>
      </c>
      <c r="G138" s="29" t="n">
        <v>0.0801</v>
      </c>
      <c r="H138" s="32" t="n">
        <v>8.849500000000001</v>
      </c>
      <c r="I138" s="27" t="inlineStr">
        <is>
          <t>2026/07/02</t>
        </is>
      </c>
      <c r="J138" s="27" t="inlineStr">
        <is>
          <t>2026/07/15</t>
        </is>
      </c>
      <c r="K138" s="33" t="inlineStr">
        <is>
          <t>尚未填息 (貼息中)</t>
        </is>
      </c>
      <c r="L138" s="34" t="n">
        <v/>
      </c>
      <c r="M138" s="29" t="n">
        <v>0.4917</v>
      </c>
      <c r="N138" s="29" t="n">
        <v>0.5083</v>
      </c>
      <c r="O138" s="26" t="inlineStr">
        <is>
          <t>月配</t>
        </is>
      </c>
    </row>
    <row r="139" ht="19" customHeight="1">
      <c r="A139" s="20" t="inlineStr">
        <is>
          <t>共同基金</t>
        </is>
      </c>
      <c r="B139" s="20" t="inlineStr">
        <is>
          <t>DH</t>
        </is>
      </c>
      <c r="C139" s="21" t="inlineStr">
        <is>
          <t>國泰美國優質債券基金(新台幣)-B</t>
        </is>
      </c>
      <c r="D139" s="20" t="inlineStr">
        <is>
          <t>2026/05</t>
        </is>
      </c>
      <c r="E139" s="35" t="n">
        <v>0.0589</v>
      </c>
      <c r="F139" s="23" t="n">
        <v>0.0067</v>
      </c>
      <c r="G139" s="23" t="n">
        <v>0.0801</v>
      </c>
      <c r="H139" s="35" t="n">
        <v>8.824</v>
      </c>
      <c r="I139" s="21" t="inlineStr">
        <is>
          <t>2026/06/02</t>
        </is>
      </c>
      <c r="J139" s="21" t="inlineStr">
        <is>
          <t>2026/06/15</t>
        </is>
      </c>
      <c r="K139" s="36" t="inlineStr">
        <is>
          <t>已填息 (8天)</t>
        </is>
      </c>
      <c r="L139" s="37" t="n">
        <v>8</v>
      </c>
      <c r="M139" s="23" t="n">
        <v>0.5897</v>
      </c>
      <c r="N139" s="23" t="n">
        <v>0.4103</v>
      </c>
      <c r="O139" s="20" t="inlineStr">
        <is>
          <t>月配</t>
        </is>
      </c>
    </row>
    <row r="140" ht="19" customHeight="1">
      <c r="A140" s="26" t="inlineStr">
        <is>
          <t>共同基金</t>
        </is>
      </c>
      <c r="B140" s="26" t="inlineStr">
        <is>
          <t>DH</t>
        </is>
      </c>
      <c r="C140" s="27" t="inlineStr">
        <is>
          <t>國泰美國優質債券基金(新台幣)-B</t>
        </is>
      </c>
      <c r="D140" s="26" t="inlineStr">
        <is>
          <t>2026/04</t>
        </is>
      </c>
      <c r="E140" s="32" t="n">
        <v>0.0594</v>
      </c>
      <c r="F140" s="29" t="n">
        <v>0.0067</v>
      </c>
      <c r="G140" s="29" t="n">
        <v>0.0805</v>
      </c>
      <c r="H140" s="32" t="n">
        <v>8.8597</v>
      </c>
      <c r="I140" s="27" t="inlineStr">
        <is>
          <t>2026/05/05</t>
        </is>
      </c>
      <c r="J140" s="27" t="inlineStr">
        <is>
          <t>2026/05/18</t>
        </is>
      </c>
      <c r="K140" s="38" t="inlineStr">
        <is>
          <t>已填息 (36天)</t>
        </is>
      </c>
      <c r="L140" s="34" t="n">
        <v>36</v>
      </c>
      <c r="M140" s="29" t="n">
        <v>0.6489</v>
      </c>
      <c r="N140" s="29" t="n">
        <v>0.3511</v>
      </c>
      <c r="O140" s="26" t="inlineStr">
        <is>
          <t>月配</t>
        </is>
      </c>
    </row>
    <row r="141" ht="19" customHeight="1">
      <c r="A141" s="20" t="inlineStr">
        <is>
          <t>共同基金</t>
        </is>
      </c>
      <c r="B141" s="20" t="inlineStr">
        <is>
          <t>DH</t>
        </is>
      </c>
      <c r="C141" s="21" t="inlineStr">
        <is>
          <t>國泰美國優質債券基金(新台幣)-B</t>
        </is>
      </c>
      <c r="D141" s="20" t="inlineStr">
        <is>
          <t>2026/03</t>
        </is>
      </c>
      <c r="E141" s="35" t="n">
        <v>0.0597</v>
      </c>
      <c r="F141" s="23" t="n">
        <v>0.0067</v>
      </c>
      <c r="G141" s="23" t="n">
        <v>0.0799</v>
      </c>
      <c r="H141" s="35" t="n">
        <v>8.9636</v>
      </c>
      <c r="I141" s="21" t="inlineStr">
        <is>
          <t>2026/04/02</t>
        </is>
      </c>
      <c r="J141" s="21" t="inlineStr">
        <is>
          <t>2026/04/17</t>
        </is>
      </c>
      <c r="K141" s="36" t="inlineStr">
        <is>
          <t>已填息 (7天)</t>
        </is>
      </c>
      <c r="L141" s="37" t="n">
        <v>7</v>
      </c>
      <c r="M141" s="23" t="n">
        <v>0.5257000000000001</v>
      </c>
      <c r="N141" s="23" t="n">
        <v>0.4743</v>
      </c>
      <c r="O141" s="20" t="inlineStr">
        <is>
          <t>月配</t>
        </is>
      </c>
    </row>
    <row r="142" ht="19" customHeight="1">
      <c r="A142" s="26" t="inlineStr">
        <is>
          <t>共同基金</t>
        </is>
      </c>
      <c r="B142" s="26" t="inlineStr">
        <is>
          <t>DH</t>
        </is>
      </c>
      <c r="C142" s="27" t="inlineStr">
        <is>
          <t>國泰美國優質債券基金(新台幣)-B</t>
        </is>
      </c>
      <c r="D142" s="26" t="inlineStr">
        <is>
          <t>2026/02</t>
        </is>
      </c>
      <c r="E142" s="32" t="n">
        <v>0.0558</v>
      </c>
      <c r="F142" s="29" t="n">
        <v>0.0062</v>
      </c>
      <c r="G142" s="29" t="n">
        <v>0.0738</v>
      </c>
      <c r="H142" s="32" t="n">
        <v>9.0723</v>
      </c>
      <c r="I142" s="27" t="inlineStr">
        <is>
          <t>2026/03/03</t>
        </is>
      </c>
      <c r="J142" s="27" t="inlineStr">
        <is>
          <t>2026/03/16</t>
        </is>
      </c>
      <c r="K142" s="38" t="inlineStr">
        <is>
          <t>已填息 (2天)</t>
        </is>
      </c>
      <c r="L142" s="34" t="n">
        <v>2</v>
      </c>
      <c r="M142" s="29" t="n">
        <v>0.455</v>
      </c>
      <c r="N142" s="29" t="n">
        <v>0.545</v>
      </c>
      <c r="O142" s="26" t="inlineStr">
        <is>
          <t>月配</t>
        </is>
      </c>
    </row>
    <row r="143" ht="19" customHeight="1">
      <c r="A143" s="20" t="inlineStr">
        <is>
          <t>共同基金</t>
        </is>
      </c>
      <c r="B143" s="20" t="inlineStr">
        <is>
          <t>DH</t>
        </is>
      </c>
      <c r="C143" s="21" t="inlineStr">
        <is>
          <t>國泰美國優質債券基金(新台幣)-B</t>
        </is>
      </c>
      <c r="D143" s="20" t="inlineStr">
        <is>
          <t>2026/01</t>
        </is>
      </c>
      <c r="E143" s="35" t="n">
        <v>0.0617</v>
      </c>
      <c r="F143" s="23" t="n">
        <v>0.0068</v>
      </c>
      <c r="G143" s="23" t="n">
        <v>0.08130000000000001</v>
      </c>
      <c r="H143" s="35" t="n">
        <v>9.1067</v>
      </c>
      <c r="I143" s="21" t="inlineStr">
        <is>
          <t>2026/02/03</t>
        </is>
      </c>
      <c r="J143" s="21" t="inlineStr">
        <is>
          <t>2026/02/13</t>
        </is>
      </c>
      <c r="K143" s="36" t="inlineStr">
        <is>
          <t>已填息 (8天)</t>
        </is>
      </c>
      <c r="L143" s="37" t="n">
        <v>8</v>
      </c>
      <c r="M143" s="23" t="n">
        <v>0.6347999999999999</v>
      </c>
      <c r="N143" s="23" t="n">
        <v>0.3652</v>
      </c>
      <c r="O143" s="20" t="inlineStr">
        <is>
          <t>月配</t>
        </is>
      </c>
    </row>
    <row r="144" ht="19" customHeight="1">
      <c r="A144" s="26" t="inlineStr">
        <is>
          <t>共同基金</t>
        </is>
      </c>
      <c r="B144" s="26" t="inlineStr">
        <is>
          <t>DH</t>
        </is>
      </c>
      <c r="C144" s="27" t="inlineStr">
        <is>
          <t>國泰美國優質債券基金(新台幣)-B</t>
        </is>
      </c>
      <c r="D144" s="26" t="inlineStr">
        <is>
          <t>2025/12</t>
        </is>
      </c>
      <c r="E144" s="32" t="n">
        <v>0.0621</v>
      </c>
      <c r="F144" s="29" t="n">
        <v>0.0068</v>
      </c>
      <c r="G144" s="29" t="n">
        <v>0.08169999999999999</v>
      </c>
      <c r="H144" s="32" t="n">
        <v>9.118399999999999</v>
      </c>
      <c r="I144" s="27" t="inlineStr">
        <is>
          <t>2026/01/05</t>
        </is>
      </c>
      <c r="J144" s="27" t="inlineStr">
        <is>
          <t>2026/01/16</t>
        </is>
      </c>
      <c r="K144" s="38" t="inlineStr">
        <is>
          <t>已填息 (7天)</t>
        </is>
      </c>
      <c r="L144" s="34" t="n">
        <v>7</v>
      </c>
      <c r="M144" s="29" t="n">
        <v>0.4296</v>
      </c>
      <c r="N144" s="29" t="n">
        <v>0.5704</v>
      </c>
      <c r="O144" s="26" t="inlineStr">
        <is>
          <t>月配</t>
        </is>
      </c>
    </row>
    <row r="145" ht="19" customHeight="1">
      <c r="A145" s="20" t="inlineStr">
        <is>
          <t>共同基金</t>
        </is>
      </c>
      <c r="B145" s="20" t="inlineStr">
        <is>
          <t>C5</t>
        </is>
      </c>
      <c r="C145" s="21" t="inlineStr">
        <is>
          <t>國泰美國多重收益平衡基金(新台幣)-NB</t>
        </is>
      </c>
      <c r="D145" s="20" t="inlineStr">
        <is>
          <t>2026/09</t>
        </is>
      </c>
      <c r="E145" s="35" t="n">
        <v>0.06581133</v>
      </c>
      <c r="F145" s="23" t="n">
        <v>0.0067</v>
      </c>
      <c r="G145" s="23" t="n">
        <v>0.0801</v>
      </c>
      <c r="H145" s="35" t="n">
        <v>9.864000000000001</v>
      </c>
      <c r="I145" s="21" t="inlineStr">
        <is>
          <t>2026/10/02</t>
        </is>
      </c>
      <c r="J145" s="21" t="inlineStr">
        <is>
          <t>2026/10/16</t>
        </is>
      </c>
      <c r="K145" s="36" t="inlineStr">
        <is>
          <t>已填息 (1天)</t>
        </is>
      </c>
      <c r="L145" s="37" t="n">
        <v>1</v>
      </c>
      <c r="M145" s="23" t="n">
        <v>1</v>
      </c>
      <c r="N145" s="25" t="n">
        <v>0</v>
      </c>
      <c r="O145" s="20" t="inlineStr">
        <is>
          <t>月配</t>
        </is>
      </c>
    </row>
    <row r="146" ht="19" customHeight="1">
      <c r="A146" s="26" t="inlineStr">
        <is>
          <t>共同基金</t>
        </is>
      </c>
      <c r="B146" s="26" t="inlineStr">
        <is>
          <t>C5</t>
        </is>
      </c>
      <c r="C146" s="27" t="inlineStr">
        <is>
          <t>國泰美國多重收益平衡基金(新台幣)-NB</t>
        </is>
      </c>
      <c r="D146" s="26" t="inlineStr">
        <is>
          <t>2026/08</t>
        </is>
      </c>
      <c r="E146" s="32" t="n">
        <v>0.06661066</v>
      </c>
      <c r="F146" s="29" t="n">
        <v>0.0067</v>
      </c>
      <c r="G146" s="29" t="n">
        <v>0.0806</v>
      </c>
      <c r="H146" s="32" t="n">
        <v>9.922700000000001</v>
      </c>
      <c r="I146" s="27" t="inlineStr">
        <is>
          <t>2026/09/02</t>
        </is>
      </c>
      <c r="J146" s="27" t="inlineStr">
        <is>
          <t>2026/09/15</t>
        </is>
      </c>
      <c r="K146" s="38" t="inlineStr">
        <is>
          <t>已填息 (2天)</t>
        </is>
      </c>
      <c r="L146" s="34" t="n">
        <v>2</v>
      </c>
      <c r="M146" s="29" t="n">
        <v>1</v>
      </c>
      <c r="N146" s="31" t="n">
        <v>0</v>
      </c>
      <c r="O146" s="26" t="inlineStr">
        <is>
          <t>月配</t>
        </is>
      </c>
    </row>
    <row r="147" ht="19" customHeight="1">
      <c r="A147" s="20" t="inlineStr">
        <is>
          <t>共同基金</t>
        </is>
      </c>
      <c r="B147" s="20" t="inlineStr">
        <is>
          <t>C5</t>
        </is>
      </c>
      <c r="C147" s="21" t="inlineStr">
        <is>
          <t>國泰美國多重收益平衡基金(新台幣)-NB</t>
        </is>
      </c>
      <c r="D147" s="20" t="inlineStr">
        <is>
          <t>2026/07</t>
        </is>
      </c>
      <c r="E147" s="35" t="n">
        <v>0.06690266</v>
      </c>
      <c r="F147" s="23" t="n">
        <v>0.0066</v>
      </c>
      <c r="G147" s="23" t="n">
        <v>0.079</v>
      </c>
      <c r="H147" s="35" t="n">
        <v>10.1628</v>
      </c>
      <c r="I147" s="21" t="inlineStr">
        <is>
          <t>2026/08/04</t>
        </is>
      </c>
      <c r="J147" s="21" t="inlineStr">
        <is>
          <t>2026/08/17</t>
        </is>
      </c>
      <c r="K147" s="36" t="inlineStr">
        <is>
          <t>已填息 (1天)</t>
        </is>
      </c>
      <c r="L147" s="37" t="n">
        <v>1</v>
      </c>
      <c r="M147" s="23" t="n">
        <v>1</v>
      </c>
      <c r="N147" s="25" t="n">
        <v>0</v>
      </c>
      <c r="O147" s="20" t="inlineStr">
        <is>
          <t>月配</t>
        </is>
      </c>
    </row>
    <row r="148" ht="19" customHeight="1">
      <c r="A148" s="26" t="inlineStr">
        <is>
          <t>共同基金</t>
        </is>
      </c>
      <c r="B148" s="26" t="inlineStr">
        <is>
          <t>C5</t>
        </is>
      </c>
      <c r="C148" s="27" t="inlineStr">
        <is>
          <t>國泰美國多重收益平衡基金(新台幣)-NB</t>
        </is>
      </c>
      <c r="D148" s="26" t="inlineStr">
        <is>
          <t>2026/06</t>
        </is>
      </c>
      <c r="E148" s="32" t="n">
        <v>0.06876066</v>
      </c>
      <c r="F148" s="29" t="n">
        <v>0.0067</v>
      </c>
      <c r="G148" s="29" t="n">
        <v>0.08070000000000001</v>
      </c>
      <c r="H148" s="32" t="n">
        <v>10.2293</v>
      </c>
      <c r="I148" s="27" t="inlineStr">
        <is>
          <t>2026/07/02</t>
        </is>
      </c>
      <c r="J148" s="27" t="inlineStr">
        <is>
          <t>2026/07/15</t>
        </is>
      </c>
      <c r="K148" s="38" t="inlineStr">
        <is>
          <t>已填息 (5天)</t>
        </is>
      </c>
      <c r="L148" s="34" t="n">
        <v>5</v>
      </c>
      <c r="M148" s="29" t="n">
        <v>1</v>
      </c>
      <c r="N148" s="31" t="n">
        <v>0</v>
      </c>
      <c r="O148" s="26" t="inlineStr">
        <is>
          <t>月配</t>
        </is>
      </c>
    </row>
    <row r="149" ht="19" customHeight="1">
      <c r="A149" s="20" t="inlineStr">
        <is>
          <t>共同基金</t>
        </is>
      </c>
      <c r="B149" s="20" t="inlineStr">
        <is>
          <t>C5</t>
        </is>
      </c>
      <c r="C149" s="21" t="inlineStr">
        <is>
          <t>國泰美國多重收益平衡基金(新台幣)-NB</t>
        </is>
      </c>
      <c r="D149" s="20" t="inlineStr">
        <is>
          <t>2026/05</t>
        </is>
      </c>
      <c r="E149" s="35" t="n">
        <v>0.06858533</v>
      </c>
      <c r="F149" s="23" t="n">
        <v>0.0067</v>
      </c>
      <c r="G149" s="23" t="n">
        <v>0.07980000000000001</v>
      </c>
      <c r="H149" s="35" t="n">
        <v>10.3123</v>
      </c>
      <c r="I149" s="21" t="inlineStr">
        <is>
          <t>2026/06/02</t>
        </is>
      </c>
      <c r="J149" s="21" t="inlineStr">
        <is>
          <t>2026/06/15</t>
        </is>
      </c>
      <c r="K149" s="36" t="inlineStr">
        <is>
          <t>已填息 (10天)</t>
        </is>
      </c>
      <c r="L149" s="37" t="n">
        <v>10</v>
      </c>
      <c r="M149" s="23" t="n">
        <v>1</v>
      </c>
      <c r="N149" s="25" t="n">
        <v>0</v>
      </c>
      <c r="O149" s="20" t="inlineStr">
        <is>
          <t>月配</t>
        </is>
      </c>
    </row>
    <row r="150" ht="19" customHeight="1">
      <c r="A150" s="26" t="inlineStr">
        <is>
          <t>共同基金</t>
        </is>
      </c>
      <c r="B150" s="26" t="inlineStr">
        <is>
          <t>C5</t>
        </is>
      </c>
      <c r="C150" s="27" t="inlineStr">
        <is>
          <t>國泰美國多重收益平衡基金(新台幣)-NB</t>
        </is>
      </c>
      <c r="D150" s="26" t="inlineStr">
        <is>
          <t>2026/04</t>
        </is>
      </c>
      <c r="E150" s="32" t="n">
        <v>0.06744799999999999</v>
      </c>
      <c r="F150" s="29" t="n">
        <v>0.0067</v>
      </c>
      <c r="G150" s="29" t="n">
        <v>0.0803</v>
      </c>
      <c r="H150" s="32" t="n">
        <v>10.0835</v>
      </c>
      <c r="I150" s="27" t="inlineStr">
        <is>
          <t>2026/05/05</t>
        </is>
      </c>
      <c r="J150" s="27" t="inlineStr">
        <is>
          <t>2026/05/18</t>
        </is>
      </c>
      <c r="K150" s="38" t="inlineStr">
        <is>
          <t>已填息 (2天)</t>
        </is>
      </c>
      <c r="L150" s="34" t="n">
        <v>2</v>
      </c>
      <c r="M150" s="29" t="n">
        <v>1</v>
      </c>
      <c r="N150" s="31" t="n">
        <v>0</v>
      </c>
      <c r="O150" s="26" t="inlineStr">
        <is>
          <t>月配</t>
        </is>
      </c>
    </row>
    <row r="151" ht="19" customHeight="1">
      <c r="A151" s="20" t="inlineStr">
        <is>
          <t>共同基金</t>
        </is>
      </c>
      <c r="B151" s="20" t="inlineStr">
        <is>
          <t>C5</t>
        </is>
      </c>
      <c r="C151" s="21" t="inlineStr">
        <is>
          <t>國泰美國多重收益平衡基金(新台幣)-NB</t>
        </is>
      </c>
      <c r="D151" s="20" t="inlineStr">
        <is>
          <t>2026/03</t>
        </is>
      </c>
      <c r="E151" s="35" t="n">
        <v>0.06480666</v>
      </c>
      <c r="F151" s="23" t="n">
        <v>0.0066</v>
      </c>
      <c r="G151" s="23" t="n">
        <v>0.0795</v>
      </c>
      <c r="H151" s="35" t="n">
        <v>9.779199999999999</v>
      </c>
      <c r="I151" s="21" t="inlineStr">
        <is>
          <t>2026/04/02</t>
        </is>
      </c>
      <c r="J151" s="21" t="inlineStr">
        <is>
          <t>2026/04/17</t>
        </is>
      </c>
      <c r="K151" s="36" t="inlineStr">
        <is>
          <t>已填息 (3天)</t>
        </is>
      </c>
      <c r="L151" s="37" t="n">
        <v>3</v>
      </c>
      <c r="M151" s="23" t="n">
        <v>1</v>
      </c>
      <c r="N151" s="25" t="n">
        <v>0</v>
      </c>
      <c r="O151" s="20" t="inlineStr">
        <is>
          <t>月配</t>
        </is>
      </c>
    </row>
    <row r="152" ht="19" customHeight="1">
      <c r="A152" s="26" t="inlineStr">
        <is>
          <t>共同基金</t>
        </is>
      </c>
      <c r="B152" s="26" t="inlineStr">
        <is>
          <t>C5</t>
        </is>
      </c>
      <c r="C152" s="27" t="inlineStr">
        <is>
          <t>國泰美國多重收益平衡基金(新台幣)-NB</t>
        </is>
      </c>
      <c r="D152" s="26" t="inlineStr">
        <is>
          <t>2026/02</t>
        </is>
      </c>
      <c r="E152" s="32" t="n">
        <v>0.06211121</v>
      </c>
      <c r="F152" s="29" t="n">
        <v>0.0062</v>
      </c>
      <c r="G152" s="29" t="n">
        <v>0.07389999999999999</v>
      </c>
      <c r="H152" s="32" t="n">
        <v>10.0844</v>
      </c>
      <c r="I152" s="27" t="inlineStr">
        <is>
          <t>2026/03/03</t>
        </is>
      </c>
      <c r="J152" s="27" t="inlineStr">
        <is>
          <t>2026/03/16</t>
        </is>
      </c>
      <c r="K152" s="38" t="inlineStr">
        <is>
          <t>已填息 (32天)</t>
        </is>
      </c>
      <c r="L152" s="34" t="n">
        <v>32</v>
      </c>
      <c r="M152" s="29" t="n">
        <v>1</v>
      </c>
      <c r="N152" s="31" t="n">
        <v>0</v>
      </c>
      <c r="O152" s="26" t="inlineStr">
        <is>
          <t>月配</t>
        </is>
      </c>
    </row>
    <row r="153" ht="19" customHeight="1">
      <c r="A153" s="20" t="inlineStr">
        <is>
          <t>共同基金</t>
        </is>
      </c>
      <c r="B153" s="20" t="inlineStr">
        <is>
          <t>C5</t>
        </is>
      </c>
      <c r="C153" s="21" t="inlineStr">
        <is>
          <t>國泰美國多重收益平衡基金(新台幣)-NB</t>
        </is>
      </c>
      <c r="D153" s="20" t="inlineStr">
        <is>
          <t>2026/01</t>
        </is>
      </c>
      <c r="E153" s="35" t="n">
        <v>0.06910706</v>
      </c>
      <c r="F153" s="23" t="n">
        <v>0.0068</v>
      </c>
      <c r="G153" s="23" t="n">
        <v>0.08109999999999999</v>
      </c>
      <c r="H153" s="35" t="n">
        <v>10.2315</v>
      </c>
      <c r="I153" s="21" t="inlineStr">
        <is>
          <t>2026/02/03</t>
        </is>
      </c>
      <c r="J153" s="21" t="inlineStr">
        <is>
          <t>2026/02/13</t>
        </is>
      </c>
      <c r="K153" s="36" t="inlineStr">
        <is>
          <t>已填息 (64天)</t>
        </is>
      </c>
      <c r="L153" s="37" t="n">
        <v>64</v>
      </c>
      <c r="M153" s="23" t="n">
        <v>1</v>
      </c>
      <c r="N153" s="25" t="n">
        <v>0</v>
      </c>
      <c r="O153" s="20" t="inlineStr">
        <is>
          <t>月配</t>
        </is>
      </c>
    </row>
    <row r="154" ht="19" customHeight="1">
      <c r="A154" s="26" t="inlineStr">
        <is>
          <t>共同基金</t>
        </is>
      </c>
      <c r="B154" s="26" t="inlineStr">
        <is>
          <t>C5</t>
        </is>
      </c>
      <c r="C154" s="27" t="inlineStr">
        <is>
          <t>國泰美國多重收益平衡基金(新台幣)-NB</t>
        </is>
      </c>
      <c r="D154" s="26" t="inlineStr">
        <is>
          <t>2025/12</t>
        </is>
      </c>
      <c r="E154" s="32" t="n">
        <v>0.06923683999999999</v>
      </c>
      <c r="F154" s="29" t="n">
        <v>0.0068</v>
      </c>
      <c r="G154" s="29" t="n">
        <v>0.0815</v>
      </c>
      <c r="H154" s="32" t="n">
        <v>10.1892</v>
      </c>
      <c r="I154" s="27" t="inlineStr">
        <is>
          <t>2026/01/05</t>
        </is>
      </c>
      <c r="J154" s="27" t="inlineStr">
        <is>
          <t>2026/01/16</t>
        </is>
      </c>
      <c r="K154" s="38" t="inlineStr">
        <is>
          <t>已填息 (3天)</t>
        </is>
      </c>
      <c r="L154" s="34" t="n">
        <v>3</v>
      </c>
      <c r="M154" s="29" t="n">
        <v>1</v>
      </c>
      <c r="N154" s="31" t="n">
        <v>0</v>
      </c>
      <c r="O154" s="26" t="inlineStr">
        <is>
          <t>月配</t>
        </is>
      </c>
    </row>
    <row r="155" ht="19" customHeight="1">
      <c r="A155" s="20" t="inlineStr">
        <is>
          <t>共同基金</t>
        </is>
      </c>
      <c r="B155" s="20" t="inlineStr">
        <is>
          <t>DW</t>
        </is>
      </c>
      <c r="C155" s="21" t="inlineStr">
        <is>
          <t>國泰美國優質債券基金(新台幣)-NB</t>
        </is>
      </c>
      <c r="D155" s="20" t="inlineStr">
        <is>
          <t>2026/09</t>
        </is>
      </c>
      <c r="E155" s="35" t="n">
        <v>0.0554</v>
      </c>
      <c r="F155" s="23" t="n">
        <v>0.0067</v>
      </c>
      <c r="G155" s="23" t="n">
        <v>0.08</v>
      </c>
      <c r="H155" s="35" t="n">
        <v>8.305199999999999</v>
      </c>
      <c r="I155" s="21" t="inlineStr">
        <is>
          <t>2026/10/02</t>
        </is>
      </c>
      <c r="J155" s="21" t="inlineStr">
        <is>
          <t>2026/10/16</t>
        </is>
      </c>
      <c r="K155" s="36" t="inlineStr">
        <is>
          <t>已填息 (6天)</t>
        </is>
      </c>
      <c r="L155" s="37" t="n">
        <v>6</v>
      </c>
      <c r="M155" s="23" t="n">
        <v>0.4765</v>
      </c>
      <c r="N155" s="23" t="n">
        <v>0.5235</v>
      </c>
      <c r="O155" s="20" t="inlineStr">
        <is>
          <t>月配</t>
        </is>
      </c>
    </row>
    <row r="156" ht="19" customHeight="1">
      <c r="A156" s="26" t="inlineStr">
        <is>
          <t>共同基金</t>
        </is>
      </c>
      <c r="B156" s="26" t="inlineStr">
        <is>
          <t>DW</t>
        </is>
      </c>
      <c r="C156" s="27" t="inlineStr">
        <is>
          <t>國泰美國優質債券基金(新台幣)-NB</t>
        </is>
      </c>
      <c r="D156" s="26" t="inlineStr">
        <is>
          <t>2026/08</t>
        </is>
      </c>
      <c r="E156" s="32" t="n">
        <v>0.0574</v>
      </c>
      <c r="F156" s="29" t="n">
        <v>0.0067</v>
      </c>
      <c r="G156" s="29" t="n">
        <v>0.08039999999999999</v>
      </c>
      <c r="H156" s="32" t="n">
        <v>8.5684</v>
      </c>
      <c r="I156" s="27" t="inlineStr">
        <is>
          <t>2026/09/02</t>
        </is>
      </c>
      <c r="J156" s="27" t="inlineStr">
        <is>
          <t>2026/09/15</t>
        </is>
      </c>
      <c r="K156" s="38" t="inlineStr">
        <is>
          <t>已填息 (2天)</t>
        </is>
      </c>
      <c r="L156" s="34" t="n">
        <v>2</v>
      </c>
      <c r="M156" s="29" t="n">
        <v>0.5257000000000001</v>
      </c>
      <c r="N156" s="29" t="n">
        <v>0.4743</v>
      </c>
      <c r="O156" s="26" t="inlineStr">
        <is>
          <t>月配</t>
        </is>
      </c>
    </row>
    <row r="157" ht="19" customHeight="1">
      <c r="A157" s="20" t="inlineStr">
        <is>
          <t>共同基金</t>
        </is>
      </c>
      <c r="B157" s="20" t="inlineStr">
        <is>
          <t>DW</t>
        </is>
      </c>
      <c r="C157" s="21" t="inlineStr">
        <is>
          <t>國泰美國優質債券基金(新台幣)-NB</t>
        </is>
      </c>
      <c r="D157" s="20" t="inlineStr">
        <is>
          <t>2026/07</t>
        </is>
      </c>
      <c r="E157" s="35" t="n">
        <v>0.0583</v>
      </c>
      <c r="F157" s="23" t="n">
        <v>0.0066</v>
      </c>
      <c r="G157" s="23" t="n">
        <v>0.0795</v>
      </c>
      <c r="H157" s="35" t="n">
        <v>8.8018</v>
      </c>
      <c r="I157" s="21" t="inlineStr">
        <is>
          <t>2026/08/04</t>
        </is>
      </c>
      <c r="J157" s="21" t="inlineStr">
        <is>
          <t>2026/08/17</t>
        </is>
      </c>
      <c r="K157" s="39" t="inlineStr">
        <is>
          <t>尚未填息 (貼息中)</t>
        </is>
      </c>
      <c r="L157" s="37" t="n">
        <v/>
      </c>
      <c r="M157" s="23" t="n">
        <v>0.4682</v>
      </c>
      <c r="N157" s="23" t="n">
        <v>0.5318000000000001</v>
      </c>
      <c r="O157" s="20" t="inlineStr">
        <is>
          <t>月配</t>
        </is>
      </c>
    </row>
    <row r="158" ht="19" customHeight="1">
      <c r="A158" s="26" t="inlineStr">
        <is>
          <t>共同基金</t>
        </is>
      </c>
      <c r="B158" s="26" t="inlineStr">
        <is>
          <t>DW</t>
        </is>
      </c>
      <c r="C158" s="27" t="inlineStr">
        <is>
          <t>國泰美國優質債券基金(新台幣)-NB</t>
        </is>
      </c>
      <c r="D158" s="26" t="inlineStr">
        <is>
          <t>2026/06</t>
        </is>
      </c>
      <c r="E158" s="32" t="n">
        <v>0.059</v>
      </c>
      <c r="F158" s="29" t="n">
        <v>0.0067</v>
      </c>
      <c r="G158" s="29" t="n">
        <v>0.08</v>
      </c>
      <c r="H158" s="32" t="n">
        <v>8.847</v>
      </c>
      <c r="I158" s="27" t="inlineStr">
        <is>
          <t>2026/07/02</t>
        </is>
      </c>
      <c r="J158" s="27" t="inlineStr">
        <is>
          <t>2026/07/15</t>
        </is>
      </c>
      <c r="K158" s="33" t="inlineStr">
        <is>
          <t>尚未填息 (貼息中)</t>
        </is>
      </c>
      <c r="L158" s="34" t="n">
        <v/>
      </c>
      <c r="M158" s="29" t="n">
        <v>0.5099</v>
      </c>
      <c r="N158" s="29" t="n">
        <v>0.4901</v>
      </c>
      <c r="O158" s="26" t="inlineStr">
        <is>
          <t>月配</t>
        </is>
      </c>
    </row>
    <row r="159" ht="19" customHeight="1">
      <c r="A159" s="20" t="inlineStr">
        <is>
          <t>共同基金</t>
        </is>
      </c>
      <c r="B159" s="20" t="inlineStr">
        <is>
          <t>DW</t>
        </is>
      </c>
      <c r="C159" s="21" t="inlineStr">
        <is>
          <t>國泰美國優質債券基金(新台幣)-NB</t>
        </is>
      </c>
      <c r="D159" s="20" t="inlineStr">
        <is>
          <t>2026/05</t>
        </is>
      </c>
      <c r="E159" s="35" t="n">
        <v>0.0589</v>
      </c>
      <c r="F159" s="23" t="n">
        <v>0.0067</v>
      </c>
      <c r="G159" s="23" t="n">
        <v>0.0801</v>
      </c>
      <c r="H159" s="35" t="n">
        <v>8.8215</v>
      </c>
      <c r="I159" s="21" t="inlineStr">
        <is>
          <t>2026/06/02</t>
        </is>
      </c>
      <c r="J159" s="21" t="inlineStr">
        <is>
          <t>2026/06/15</t>
        </is>
      </c>
      <c r="K159" s="36" t="inlineStr">
        <is>
          <t>已填息 (8天)</t>
        </is>
      </c>
      <c r="L159" s="37" t="n">
        <v>8</v>
      </c>
      <c r="M159" s="23" t="n">
        <v>0.5364</v>
      </c>
      <c r="N159" s="23" t="n">
        <v>0.4636</v>
      </c>
      <c r="O159" s="20" t="inlineStr">
        <is>
          <t>月配</t>
        </is>
      </c>
    </row>
    <row r="160" ht="19" customHeight="1">
      <c r="A160" s="26" t="inlineStr">
        <is>
          <t>共同基金</t>
        </is>
      </c>
      <c r="B160" s="26" t="inlineStr">
        <is>
          <t>DW</t>
        </is>
      </c>
      <c r="C160" s="27" t="inlineStr">
        <is>
          <t>國泰美國優質債券基金(新台幣)-NB</t>
        </is>
      </c>
      <c r="D160" s="26" t="inlineStr">
        <is>
          <t>2026/04</t>
        </is>
      </c>
      <c r="E160" s="32" t="n">
        <v>0.0594</v>
      </c>
      <c r="F160" s="29" t="n">
        <v>0.0067</v>
      </c>
      <c r="G160" s="29" t="n">
        <v>0.0805</v>
      </c>
      <c r="H160" s="32" t="n">
        <v>8.857200000000001</v>
      </c>
      <c r="I160" s="27" t="inlineStr">
        <is>
          <t>2026/05/05</t>
        </is>
      </c>
      <c r="J160" s="27" t="inlineStr">
        <is>
          <t>2026/05/18</t>
        </is>
      </c>
      <c r="K160" s="38" t="inlineStr">
        <is>
          <t>已填息 (36天)</t>
        </is>
      </c>
      <c r="L160" s="34" t="n">
        <v>36</v>
      </c>
      <c r="M160" s="29" t="n">
        <v>0.6520999999999999</v>
      </c>
      <c r="N160" s="29" t="n">
        <v>0.3479</v>
      </c>
      <c r="O160" s="26" t="inlineStr">
        <is>
          <t>月配</t>
        </is>
      </c>
    </row>
    <row r="161" ht="19" customHeight="1">
      <c r="A161" s="20" t="inlineStr">
        <is>
          <t>共同基金</t>
        </is>
      </c>
      <c r="B161" s="20" t="inlineStr">
        <is>
          <t>DW</t>
        </is>
      </c>
      <c r="C161" s="21" t="inlineStr">
        <is>
          <t>國泰美國優質債券基金(新台幣)-NB</t>
        </is>
      </c>
      <c r="D161" s="20" t="inlineStr">
        <is>
          <t>2026/03</t>
        </is>
      </c>
      <c r="E161" s="35" t="n">
        <v>0.0596</v>
      </c>
      <c r="F161" s="23" t="n">
        <v>0.0067</v>
      </c>
      <c r="G161" s="23" t="n">
        <v>0.07980000000000001</v>
      </c>
      <c r="H161" s="35" t="n">
        <v>8.961</v>
      </c>
      <c r="I161" s="21" t="inlineStr">
        <is>
          <t>2026/04/02</t>
        </is>
      </c>
      <c r="J161" s="21" t="inlineStr">
        <is>
          <t>2026/04/17</t>
        </is>
      </c>
      <c r="K161" s="36" t="inlineStr">
        <is>
          <t>已填息 (7天)</t>
        </is>
      </c>
      <c r="L161" s="37" t="n">
        <v>7</v>
      </c>
      <c r="M161" s="23" t="n">
        <v>0.5440999999999999</v>
      </c>
      <c r="N161" s="23" t="n">
        <v>0.4559</v>
      </c>
      <c r="O161" s="20" t="inlineStr">
        <is>
          <t>月配</t>
        </is>
      </c>
    </row>
    <row r="162" ht="19" customHeight="1">
      <c r="A162" s="26" t="inlineStr">
        <is>
          <t>共同基金</t>
        </is>
      </c>
      <c r="B162" s="26" t="inlineStr">
        <is>
          <t>DW</t>
        </is>
      </c>
      <c r="C162" s="27" t="inlineStr">
        <is>
          <t>國泰美國優質債券基金(新台幣)-NB</t>
        </is>
      </c>
      <c r="D162" s="26" t="inlineStr">
        <is>
          <t>2026/02</t>
        </is>
      </c>
      <c r="E162" s="32" t="n">
        <v>0.0558</v>
      </c>
      <c r="F162" s="29" t="n">
        <v>0.0062</v>
      </c>
      <c r="G162" s="29" t="n">
        <v>0.0738</v>
      </c>
      <c r="H162" s="32" t="n">
        <v>9.069699999999999</v>
      </c>
      <c r="I162" s="27" t="inlineStr">
        <is>
          <t>2026/03/03</t>
        </is>
      </c>
      <c r="J162" s="27" t="inlineStr">
        <is>
          <t>2026/03/16</t>
        </is>
      </c>
      <c r="K162" s="38" t="inlineStr">
        <is>
          <t>已填息 (2天)</t>
        </is>
      </c>
      <c r="L162" s="34" t="n">
        <v>2</v>
      </c>
      <c r="M162" s="29" t="n">
        <v>0.4526</v>
      </c>
      <c r="N162" s="29" t="n">
        <v>0.5474</v>
      </c>
      <c r="O162" s="26" t="inlineStr">
        <is>
          <t>月配</t>
        </is>
      </c>
    </row>
    <row r="163" ht="19" customHeight="1">
      <c r="A163" s="20" t="inlineStr">
        <is>
          <t>共同基金</t>
        </is>
      </c>
      <c r="B163" s="20" t="inlineStr">
        <is>
          <t>DW</t>
        </is>
      </c>
      <c r="C163" s="21" t="inlineStr">
        <is>
          <t>國泰美國優質債券基金(新台幣)-NB</t>
        </is>
      </c>
      <c r="D163" s="20" t="inlineStr">
        <is>
          <t>2026/01</t>
        </is>
      </c>
      <c r="E163" s="35" t="n">
        <v>0.0617</v>
      </c>
      <c r="F163" s="23" t="n">
        <v>0.0068</v>
      </c>
      <c r="G163" s="23" t="n">
        <v>0.08130000000000001</v>
      </c>
      <c r="H163" s="35" t="n">
        <v>9.104200000000001</v>
      </c>
      <c r="I163" s="21" t="inlineStr">
        <is>
          <t>2026/02/03</t>
        </is>
      </c>
      <c r="J163" s="21" t="inlineStr">
        <is>
          <t>2026/02/13</t>
        </is>
      </c>
      <c r="K163" s="36" t="inlineStr">
        <is>
          <t>已填息 (8天)</t>
        </is>
      </c>
      <c r="L163" s="37" t="n">
        <v>8</v>
      </c>
      <c r="M163" s="23" t="n">
        <v>0.6161</v>
      </c>
      <c r="N163" s="23" t="n">
        <v>0.3839</v>
      </c>
      <c r="O163" s="20" t="inlineStr">
        <is>
          <t>月配</t>
        </is>
      </c>
    </row>
    <row r="164" ht="19" customHeight="1">
      <c r="A164" s="26" t="inlineStr">
        <is>
          <t>共同基金</t>
        </is>
      </c>
      <c r="B164" s="26" t="inlineStr">
        <is>
          <t>DW</t>
        </is>
      </c>
      <c r="C164" s="27" t="inlineStr">
        <is>
          <t>國泰美國優質債券基金(新台幣)-NB</t>
        </is>
      </c>
      <c r="D164" s="26" t="inlineStr">
        <is>
          <t>2025/12</t>
        </is>
      </c>
      <c r="E164" s="32" t="n">
        <v>0.0621</v>
      </c>
      <c r="F164" s="29" t="n">
        <v>0.0068</v>
      </c>
      <c r="G164" s="29" t="n">
        <v>0.08169999999999999</v>
      </c>
      <c r="H164" s="32" t="n">
        <v>9.1159</v>
      </c>
      <c r="I164" s="27" t="inlineStr">
        <is>
          <t>2026/01/05</t>
        </is>
      </c>
      <c r="J164" s="27" t="inlineStr">
        <is>
          <t>2026/01/16</t>
        </is>
      </c>
      <c r="K164" s="38" t="inlineStr">
        <is>
          <t>已填息 (7天)</t>
        </is>
      </c>
      <c r="L164" s="34" t="n">
        <v>7</v>
      </c>
      <c r="M164" s="29" t="n">
        <v>0.4391</v>
      </c>
      <c r="N164" s="29" t="n">
        <v>0.5609000000000001</v>
      </c>
      <c r="O164" s="26" t="inlineStr">
        <is>
          <t>月配</t>
        </is>
      </c>
    </row>
    <row r="165" ht="19" customHeight="1">
      <c r="A165" s="20" t="inlineStr">
        <is>
          <t>共同基金</t>
        </is>
      </c>
      <c r="B165" s="20" t="inlineStr">
        <is>
          <t>AP</t>
        </is>
      </c>
      <c r="C165" s="21" t="inlineStr">
        <is>
          <t>國泰主順位資產抵押非投資等級債券基金(新台幣)-NB</t>
        </is>
      </c>
      <c r="D165" s="20" t="inlineStr">
        <is>
          <t>2026/09</t>
        </is>
      </c>
      <c r="E165" s="35" t="n">
        <v>0.04180549</v>
      </c>
      <c r="F165" s="23" t="n">
        <v>0.0053</v>
      </c>
      <c r="G165" s="23" t="n">
        <v>0.06370000000000001</v>
      </c>
      <c r="H165" s="35" t="n">
        <v>7.8696</v>
      </c>
      <c r="I165" s="21" t="inlineStr">
        <is>
          <t>2026/10/02</t>
        </is>
      </c>
      <c r="J165" s="21" t="inlineStr">
        <is>
          <t>2026/10/16</t>
        </is>
      </c>
      <c r="K165" s="36" t="inlineStr">
        <is>
          <t>已填息 (6天)</t>
        </is>
      </c>
      <c r="L165" s="37" t="n">
        <v>6</v>
      </c>
      <c r="M165" s="23" t="n">
        <v>0.8120000000000001</v>
      </c>
      <c r="N165" s="23" t="n">
        <v>0.188</v>
      </c>
      <c r="O165" s="20" t="inlineStr">
        <is>
          <t>月配</t>
        </is>
      </c>
    </row>
    <row r="166" ht="19" customHeight="1">
      <c r="A166" s="26" t="inlineStr">
        <is>
          <t>共同基金</t>
        </is>
      </c>
      <c r="B166" s="26" t="inlineStr">
        <is>
          <t>AP</t>
        </is>
      </c>
      <c r="C166" s="27" t="inlineStr">
        <is>
          <t>國泰主順位資產抵押非投資等級債券基金(新台幣)-NB</t>
        </is>
      </c>
      <c r="D166" s="26" t="inlineStr">
        <is>
          <t>2026/08</t>
        </is>
      </c>
      <c r="E166" s="32" t="n">
        <v>0.04375956</v>
      </c>
      <c r="F166" s="29" t="n">
        <v>0.0054</v>
      </c>
      <c r="G166" s="29" t="n">
        <v>0.06519999999999999</v>
      </c>
      <c r="H166" s="32" t="n">
        <v>8.0535</v>
      </c>
      <c r="I166" s="27" t="inlineStr">
        <is>
          <t>2026/09/02</t>
        </is>
      </c>
      <c r="J166" s="27" t="inlineStr">
        <is>
          <t>2026/09/15</t>
        </is>
      </c>
      <c r="K166" s="33" t="inlineStr">
        <is>
          <t>尚未填息 (貼息中)</t>
        </is>
      </c>
      <c r="L166" s="34" t="n">
        <v/>
      </c>
      <c r="M166" s="29" t="n">
        <v>0.7691</v>
      </c>
      <c r="N166" s="29" t="n">
        <v>0.2309</v>
      </c>
      <c r="O166" s="26" t="inlineStr">
        <is>
          <t>月配</t>
        </is>
      </c>
    </row>
    <row r="167" ht="19" customHeight="1">
      <c r="A167" s="20" t="inlineStr">
        <is>
          <t>共同基金</t>
        </is>
      </c>
      <c r="B167" s="20" t="inlineStr">
        <is>
          <t>AP</t>
        </is>
      </c>
      <c r="C167" s="21" t="inlineStr">
        <is>
          <t>國泰主順位資產抵押非投資等級債券基金(新台幣)-NB</t>
        </is>
      </c>
      <c r="D167" s="20" t="inlineStr">
        <is>
          <t>2026/07</t>
        </is>
      </c>
      <c r="E167" s="35" t="n">
        <v>0.04408717</v>
      </c>
      <c r="F167" s="23" t="n">
        <v>0.0054</v>
      </c>
      <c r="G167" s="23" t="n">
        <v>0.0644</v>
      </c>
      <c r="H167" s="35" t="n">
        <v>8.2103</v>
      </c>
      <c r="I167" s="21" t="inlineStr">
        <is>
          <t>2026/08/04</t>
        </is>
      </c>
      <c r="J167" s="21" t="inlineStr">
        <is>
          <t>2026/08/17</t>
        </is>
      </c>
      <c r="K167" s="39" t="inlineStr">
        <is>
          <t>尚未填息 (貼息中)</t>
        </is>
      </c>
      <c r="L167" s="37" t="n">
        <v/>
      </c>
      <c r="M167" s="23" t="n">
        <v>0.7605</v>
      </c>
      <c r="N167" s="23" t="n">
        <v>0.2395</v>
      </c>
      <c r="O167" s="20" t="inlineStr">
        <is>
          <t>月配</t>
        </is>
      </c>
    </row>
    <row r="168" ht="19" customHeight="1">
      <c r="A168" s="26" t="inlineStr">
        <is>
          <t>共同基金</t>
        </is>
      </c>
      <c r="B168" s="26" t="inlineStr">
        <is>
          <t>AP</t>
        </is>
      </c>
      <c r="C168" s="27" t="inlineStr">
        <is>
          <t>國泰主順位資產抵押非投資等級債券基金(新台幣)-NB</t>
        </is>
      </c>
      <c r="D168" s="26" t="inlineStr">
        <is>
          <t>2026/06</t>
        </is>
      </c>
      <c r="E168" s="32" t="n">
        <v>0.04202033</v>
      </c>
      <c r="F168" s="29" t="n">
        <v>0.0052</v>
      </c>
      <c r="G168" s="29" t="n">
        <v>0.062</v>
      </c>
      <c r="H168" s="32" t="n">
        <v>8.131</v>
      </c>
      <c r="I168" s="27" t="inlineStr">
        <is>
          <t>2026/07/02</t>
        </is>
      </c>
      <c r="J168" s="27" t="inlineStr">
        <is>
          <t>2026/07/15</t>
        </is>
      </c>
      <c r="K168" s="38" t="inlineStr">
        <is>
          <t>已填息 (2天)</t>
        </is>
      </c>
      <c r="L168" s="34" t="n">
        <v>2</v>
      </c>
      <c r="M168" s="29" t="n">
        <v>0.7582</v>
      </c>
      <c r="N168" s="29" t="n">
        <v>0.2418</v>
      </c>
      <c r="O168" s="26" t="inlineStr">
        <is>
          <t>月配</t>
        </is>
      </c>
    </row>
    <row r="169" ht="19" customHeight="1">
      <c r="A169" s="20" t="inlineStr">
        <is>
          <t>共同基金</t>
        </is>
      </c>
      <c r="B169" s="20" t="inlineStr">
        <is>
          <t>AP</t>
        </is>
      </c>
      <c r="C169" s="21" t="inlineStr">
        <is>
          <t>國泰主順位資產抵押非投資等級債券基金(新台幣)-NB</t>
        </is>
      </c>
      <c r="D169" s="20" t="inlineStr">
        <is>
          <t>2026/05</t>
        </is>
      </c>
      <c r="E169" s="35" t="n">
        <v>0.04395273</v>
      </c>
      <c r="F169" s="23" t="n">
        <v>0.0054</v>
      </c>
      <c r="G169" s="23" t="n">
        <v>0.0654</v>
      </c>
      <c r="H169" s="35" t="n">
        <v>8.066800000000001</v>
      </c>
      <c r="I169" s="21" t="inlineStr">
        <is>
          <t>2026/06/02</t>
        </is>
      </c>
      <c r="J169" s="21" t="inlineStr">
        <is>
          <t>2026/06/15</t>
        </is>
      </c>
      <c r="K169" s="36" t="inlineStr">
        <is>
          <t>已填息 (8天)</t>
        </is>
      </c>
      <c r="L169" s="37" t="n">
        <v>8</v>
      </c>
      <c r="M169" s="23" t="n">
        <v>0.7461</v>
      </c>
      <c r="N169" s="23" t="n">
        <v>0.2539</v>
      </c>
      <c r="O169" s="20" t="inlineStr">
        <is>
          <t>月配</t>
        </is>
      </c>
    </row>
    <row r="170" ht="19" customHeight="1">
      <c r="A170" s="26" t="inlineStr">
        <is>
          <t>共同基金</t>
        </is>
      </c>
      <c r="B170" s="26" t="inlineStr">
        <is>
          <t>AP</t>
        </is>
      </c>
      <c r="C170" s="27" t="inlineStr">
        <is>
          <t>國泰主順位資產抵押非投資等級債券基金(新台幣)-NB</t>
        </is>
      </c>
      <c r="D170" s="26" t="inlineStr">
        <is>
          <t>2026/04</t>
        </is>
      </c>
      <c r="E170" s="32" t="n">
        <v>0.04300473</v>
      </c>
      <c r="F170" s="29" t="n">
        <v>0.0053</v>
      </c>
      <c r="G170" s="29" t="n">
        <v>0.0636</v>
      </c>
      <c r="H170" s="32" t="n">
        <v>8.1187</v>
      </c>
      <c r="I170" s="27" t="inlineStr">
        <is>
          <t>2026/05/05</t>
        </is>
      </c>
      <c r="J170" s="27" t="inlineStr">
        <is>
          <t>2026/05/18</t>
        </is>
      </c>
      <c r="K170" s="38" t="inlineStr">
        <is>
          <t>已填息 (36天)</t>
        </is>
      </c>
      <c r="L170" s="34" t="n">
        <v>36</v>
      </c>
      <c r="M170" s="29" t="n">
        <v>0.7404000000000001</v>
      </c>
      <c r="N170" s="29" t="n">
        <v>0.2596</v>
      </c>
      <c r="O170" s="26" t="inlineStr">
        <is>
          <t>月配</t>
        </is>
      </c>
    </row>
    <row r="171" ht="19" customHeight="1">
      <c r="A171" s="20" t="inlineStr">
        <is>
          <t>共同基金</t>
        </is>
      </c>
      <c r="B171" s="20" t="inlineStr">
        <is>
          <t>AP</t>
        </is>
      </c>
      <c r="C171" s="21" t="inlineStr">
        <is>
          <t>國泰主順位資產抵押非投資等級債券基金(新台幣)-NB</t>
        </is>
      </c>
      <c r="D171" s="20" t="inlineStr">
        <is>
          <t>2026/03</t>
        </is>
      </c>
      <c r="E171" s="35" t="n">
        <v>0.04378371</v>
      </c>
      <c r="F171" s="23" t="n">
        <v>0.0054</v>
      </c>
      <c r="G171" s="23" t="n">
        <v>0.0645</v>
      </c>
      <c r="H171" s="35" t="n">
        <v>8.1456</v>
      </c>
      <c r="I171" s="21" t="inlineStr">
        <is>
          <t>2026/04/02</t>
        </is>
      </c>
      <c r="J171" s="21" t="inlineStr">
        <is>
          <t>2026/04/17</t>
        </is>
      </c>
      <c r="K171" s="36" t="inlineStr">
        <is>
          <t>已填息 (63天)</t>
        </is>
      </c>
      <c r="L171" s="37" t="n">
        <v>63</v>
      </c>
      <c r="M171" s="23" t="n">
        <v>0.7343999999999999</v>
      </c>
      <c r="N171" s="23" t="n">
        <v>0.2656</v>
      </c>
      <c r="O171" s="20" t="inlineStr">
        <is>
          <t>月配</t>
        </is>
      </c>
    </row>
    <row r="172" ht="19" customHeight="1">
      <c r="A172" s="26" t="inlineStr">
        <is>
          <t>共同基金</t>
        </is>
      </c>
      <c r="B172" s="26" t="inlineStr">
        <is>
          <t>AP</t>
        </is>
      </c>
      <c r="C172" s="27" t="inlineStr">
        <is>
          <t>國泰主順位資產抵押非投資等級債券基金(新台幣)-NB</t>
        </is>
      </c>
      <c r="D172" s="26" t="inlineStr">
        <is>
          <t>2026/02</t>
        </is>
      </c>
      <c r="E172" s="32" t="n">
        <v>0.03966742</v>
      </c>
      <c r="F172" s="29" t="n">
        <v>0.0049</v>
      </c>
      <c r="G172" s="29" t="n">
        <v>0.0584</v>
      </c>
      <c r="H172" s="32" t="n">
        <v>8.1508</v>
      </c>
      <c r="I172" s="27" t="inlineStr">
        <is>
          <t>2026/03/03</t>
        </is>
      </c>
      <c r="J172" s="27" t="inlineStr">
        <is>
          <t>2026/03/16</t>
        </is>
      </c>
      <c r="K172" s="38" t="inlineStr">
        <is>
          <t>已填息 (2天)</t>
        </is>
      </c>
      <c r="L172" s="34" t="n">
        <v>2</v>
      </c>
      <c r="M172" s="29" t="n">
        <v>0.7447</v>
      </c>
      <c r="N172" s="29" t="n">
        <v>0.2553</v>
      </c>
      <c r="O172" s="26" t="inlineStr">
        <is>
          <t>月配</t>
        </is>
      </c>
    </row>
    <row r="173" ht="19" customHeight="1">
      <c r="A173" s="20" t="inlineStr">
        <is>
          <t>共同基金</t>
        </is>
      </c>
      <c r="B173" s="20" t="inlineStr">
        <is>
          <t>AP</t>
        </is>
      </c>
      <c r="C173" s="21" t="inlineStr">
        <is>
          <t>國泰主順位資產抵押非投資等級債券基金(新台幣)-NB</t>
        </is>
      </c>
      <c r="D173" s="20" t="inlineStr">
        <is>
          <t>2026/01</t>
        </is>
      </c>
      <c r="E173" s="35" t="n">
        <v>0.04395632</v>
      </c>
      <c r="F173" s="23" t="n">
        <v>0.0053</v>
      </c>
      <c r="G173" s="23" t="n">
        <v>0.0639</v>
      </c>
      <c r="H173" s="35" t="n">
        <v>8.2507</v>
      </c>
      <c r="I173" s="21" t="inlineStr">
        <is>
          <t>2026/02/03</t>
        </is>
      </c>
      <c r="J173" s="21" t="inlineStr">
        <is>
          <t>2026/02/13</t>
        </is>
      </c>
      <c r="K173" s="39" t="inlineStr">
        <is>
          <t>尚未填息 (貼息中)</t>
        </is>
      </c>
      <c r="L173" s="37" t="n">
        <v/>
      </c>
      <c r="M173" s="23" t="n">
        <v>0.7497</v>
      </c>
      <c r="N173" s="23" t="n">
        <v>0.2503</v>
      </c>
      <c r="O173" s="20" t="inlineStr">
        <is>
          <t>月配</t>
        </is>
      </c>
    </row>
    <row r="174" ht="19" customHeight="1">
      <c r="A174" s="26" t="inlineStr">
        <is>
          <t>共同基金</t>
        </is>
      </c>
      <c r="B174" s="26" t="inlineStr">
        <is>
          <t>AP</t>
        </is>
      </c>
      <c r="C174" s="27" t="inlineStr">
        <is>
          <t>國泰主順位資產抵押非投資等級債券基金(新台幣)-NB</t>
        </is>
      </c>
      <c r="D174" s="26" t="inlineStr">
        <is>
          <t>2025/12</t>
        </is>
      </c>
      <c r="E174" s="32" t="n">
        <v>0.04445673</v>
      </c>
      <c r="F174" s="29" t="n">
        <v>0.0054</v>
      </c>
      <c r="G174" s="29" t="n">
        <v>0.06469999999999999</v>
      </c>
      <c r="H174" s="32" t="n">
        <v>8.2402</v>
      </c>
      <c r="I174" s="27" t="inlineStr">
        <is>
          <t>2026/01/05</t>
        </is>
      </c>
      <c r="J174" s="27" t="inlineStr">
        <is>
          <t>2026/01/16</t>
        </is>
      </c>
      <c r="K174" s="38" t="inlineStr">
        <is>
          <t>已填息 (4天)</t>
        </is>
      </c>
      <c r="L174" s="34" t="n">
        <v>4</v>
      </c>
      <c r="M174" s="29" t="n">
        <v>0.7768</v>
      </c>
      <c r="N174" s="29" t="n">
        <v>0.2232</v>
      </c>
      <c r="O174" s="26" t="inlineStr">
        <is>
          <t>月配</t>
        </is>
      </c>
    </row>
  </sheetData>
  <mergeCells count="3">
    <mergeCell ref="A3:L3"/>
    <mergeCell ref="A24:N24"/>
    <mergeCell ref="A1:N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262"/>
  <sheetViews>
    <sheetView showGridLines="1" workbookViewId="0">
      <selection activeCell="A1" sqref="A1"/>
    </sheetView>
  </sheetViews>
  <sheetFormatPr baseColWidth="8" defaultRowHeight="15"/>
  <cols>
    <col width="11" customWidth="1" min="1" max="1"/>
    <col width="11" customWidth="1" min="2" max="2"/>
    <col width="26" customWidth="1" min="3" max="3"/>
    <col width="13" customWidth="1" min="4" max="4"/>
    <col width="13" customWidth="1" min="5" max="5"/>
    <col width="16" customWidth="1" min="6" max="6"/>
    <col width="16" customWidth="1" min="7" max="7"/>
    <col width="13" customWidth="1" min="8" max="8"/>
    <col width="15" customWidth="1" min="9" max="9"/>
    <col width="26" customWidth="1" min="10" max="10"/>
    <col width="38" customWidth="1" min="11" max="11"/>
  </cols>
  <sheetData>
    <row r="1" ht="36" customHeight="1">
      <c r="A1" s="14" t="inlineStr">
        <is>
          <t>國泰投信 人氣標的「產業分佈」與「台積電佔比」深度剖析看板</t>
        </is>
      </c>
    </row>
    <row r="3" ht="24" customHeight="1">
      <c r="A3" s="4" t="inlineStr">
        <is>
          <t>【各標的 產業分佈與台積電佔比總評】</t>
        </is>
      </c>
    </row>
    <row r="4" ht="26" customHeight="1">
      <c r="A4" s="15" t="inlineStr">
        <is>
          <t>投資大類</t>
        </is>
      </c>
      <c r="B4" s="15" t="inlineStr">
        <is>
          <t>標的代碼</t>
        </is>
      </c>
      <c r="C4" s="15" t="inlineStr">
        <is>
          <t>標的簡稱</t>
        </is>
      </c>
      <c r="D4" s="15" t="inlineStr">
        <is>
          <t>台積電佔比</t>
        </is>
      </c>
      <c r="E4" s="15" t="inlineStr">
        <is>
          <t>科技電子佔比</t>
        </is>
      </c>
      <c r="F4" s="15" t="inlineStr">
        <is>
          <t>科技合計佔比</t>
        </is>
      </c>
      <c r="G4" s="15" t="inlineStr">
        <is>
          <t>金融保險佔比</t>
        </is>
      </c>
      <c r="H4" s="15" t="inlineStr">
        <is>
          <t>傳統產業佔比</t>
        </is>
      </c>
      <c r="I4" s="15" t="inlineStr">
        <is>
          <t>海外/債券/其他</t>
        </is>
      </c>
      <c r="J4" s="15" t="inlineStr">
        <is>
          <t>核心配置定位</t>
        </is>
      </c>
      <c r="K4" s="15" t="inlineStr">
        <is>
          <t>前3大持股</t>
        </is>
      </c>
    </row>
    <row r="5" ht="20" customHeight="1">
      <c r="A5" s="20" t="inlineStr">
        <is>
          <t>ETF</t>
        </is>
      </c>
      <c r="B5" s="20" t="inlineStr">
        <is>
          <t>00400A</t>
        </is>
      </c>
      <c r="C5" s="21" t="inlineStr">
        <is>
          <t>主動國泰動能高息</t>
        </is>
      </c>
      <c r="D5" s="23" t="n">
        <v>0.08710000000000001</v>
      </c>
      <c r="E5" s="23" t="n">
        <v>0.6758999999999999</v>
      </c>
      <c r="F5" s="23" t="n">
        <v>0.7629999999999998</v>
      </c>
      <c r="G5" s="23" t="n">
        <v>0.032</v>
      </c>
      <c r="H5" s="23" t="n">
        <v>0.118</v>
      </c>
      <c r="I5" s="21" t="n">
        <v>0.008500000000000001</v>
      </c>
      <c r="J5" s="21" t="inlineStr">
        <is>
          <t>🚀 科技成長衝刺型 (科技純度極高)</t>
        </is>
      </c>
      <c r="K5" s="21" t="inlineStr">
        <is>
          <t>台積電(8.71%), 聯發科(6.16%), 台光電(4.28%)</t>
        </is>
      </c>
    </row>
    <row r="6" ht="20" customHeight="1">
      <c r="A6" s="26" t="inlineStr">
        <is>
          <t>ETF</t>
        </is>
      </c>
      <c r="B6" s="26" t="inlineStr">
        <is>
          <t>00878</t>
        </is>
      </c>
      <c r="C6" s="27" t="inlineStr">
        <is>
          <t>國泰永續高股息</t>
        </is>
      </c>
      <c r="D6" s="31" t="n">
        <v>0</v>
      </c>
      <c r="E6" s="29" t="n">
        <v>0.5079</v>
      </c>
      <c r="F6" s="29" t="n">
        <v>0.5079</v>
      </c>
      <c r="G6" s="29" t="n">
        <v>0.3598000000000001</v>
      </c>
      <c r="H6" s="29" t="n">
        <v>0.1039</v>
      </c>
      <c r="I6" s="27" t="n">
        <v>0</v>
      </c>
      <c r="J6" s="27" t="inlineStr">
        <is>
          <t>🛡️ 科技+金融均衡防禦型 (穩健領息)</t>
        </is>
      </c>
      <c r="K6" s="27" t="inlineStr">
        <is>
          <t>中信金(10.22%), 廣達(8.51%), 國泰金(6.54%)</t>
        </is>
      </c>
    </row>
    <row r="7" ht="20" customHeight="1">
      <c r="A7" s="20" t="inlineStr">
        <is>
          <t>ETF</t>
        </is>
      </c>
      <c r="B7" s="20" t="inlineStr">
        <is>
          <t>00933B</t>
        </is>
      </c>
      <c r="C7" s="21" t="inlineStr">
        <is>
          <t>國泰10Y+金融債</t>
        </is>
      </c>
      <c r="D7" s="25" t="n">
        <v>0</v>
      </c>
      <c r="E7" s="25" t="n">
        <v>0</v>
      </c>
      <c r="F7" s="25" t="n">
        <v>0</v>
      </c>
      <c r="G7" s="25" t="n">
        <v>0</v>
      </c>
      <c r="H7" s="25" t="n">
        <v>0</v>
      </c>
      <c r="I7" s="21" t="n">
        <v>0</v>
      </c>
      <c r="J7" s="21" t="inlineStr">
        <is>
          <t>⚖️ 多元均衡配置型</t>
        </is>
      </c>
      <c r="K7" s="21" t="inlineStr">
        <is>
          <t>GOLDMAN SACHS GROUP INC 6.75-2037/10/01(0.0%), JPMORGAN CHASE &amp; CO 5.534-2045/11/29(0.0%), JPMORGAN CHASE &amp; CO 6.4-2038/05/15(0.0%)</t>
        </is>
      </c>
    </row>
    <row r="8" ht="20" customHeight="1">
      <c r="A8" s="26" t="inlineStr">
        <is>
          <t>ETF</t>
        </is>
      </c>
      <c r="B8" s="26" t="inlineStr">
        <is>
          <t>00725B</t>
        </is>
      </c>
      <c r="C8" s="27" t="inlineStr">
        <is>
          <t>國泰投資級公司債</t>
        </is>
      </c>
      <c r="D8" s="31" t="n">
        <v>0</v>
      </c>
      <c r="E8" s="31" t="n">
        <v>0</v>
      </c>
      <c r="F8" s="31" t="n">
        <v>0</v>
      </c>
      <c r="G8" s="31" t="n">
        <v>0</v>
      </c>
      <c r="H8" s="31" t="n">
        <v>0</v>
      </c>
      <c r="I8" s="27" t="n">
        <v>0</v>
      </c>
      <c r="J8" s="27" t="inlineStr">
        <is>
          <t>⚖️ 多元均衡配置型</t>
        </is>
      </c>
      <c r="K8" s="27" t="inlineStr">
        <is>
          <t>INTEL CORP 5.9-2063/02/10(0.0%), RTX CORP 6.4-2054/03/15(0.0%), AT&amp;T INC 6.05-2056/08/15(0.0%)</t>
        </is>
      </c>
    </row>
    <row r="9" ht="20" customHeight="1">
      <c r="A9" s="20" t="inlineStr">
        <is>
          <t>ETF</t>
        </is>
      </c>
      <c r="B9" s="20" t="inlineStr">
        <is>
          <t>00881</t>
        </is>
      </c>
      <c r="C9" s="21" t="inlineStr">
        <is>
          <t>國泰台灣科技龍頭</t>
        </is>
      </c>
      <c r="D9" s="23" t="n">
        <v>0.3986</v>
      </c>
      <c r="E9" s="23" t="n">
        <v>0.5539999999999999</v>
      </c>
      <c r="F9" s="23" t="n">
        <v>0.9525999999999999</v>
      </c>
      <c r="G9" s="25" t="n">
        <v>0</v>
      </c>
      <c r="H9" s="23" t="n">
        <v>0.0213</v>
      </c>
      <c r="I9" s="21" t="n">
        <v>0.004</v>
      </c>
      <c r="J9" s="21" t="inlineStr">
        <is>
          <t>🚀 科技成長衝刺型 (科技純度極高)</t>
        </is>
      </c>
      <c r="K9" s="21" t="inlineStr">
        <is>
          <t>台積電(39.86%), 聯發科(10.08%), 台達電(5.47%)</t>
        </is>
      </c>
    </row>
    <row r="10" ht="20" customHeight="1">
      <c r="A10" s="26" t="inlineStr">
        <is>
          <t>ETF</t>
        </is>
      </c>
      <c r="B10" s="26" t="inlineStr">
        <is>
          <t>00922</t>
        </is>
      </c>
      <c r="C10" s="27" t="inlineStr">
        <is>
          <t>國泰台灣領袖50</t>
        </is>
      </c>
      <c r="D10" s="29" t="n">
        <v>0.3937</v>
      </c>
      <c r="E10" s="29" t="n">
        <v>0.4217000000000001</v>
      </c>
      <c r="F10" s="29" t="n">
        <v>0.8154</v>
      </c>
      <c r="G10" s="29" t="n">
        <v>0.1362</v>
      </c>
      <c r="H10" s="29" t="n">
        <v>0.0348</v>
      </c>
      <c r="I10" s="27" t="n">
        <v>0</v>
      </c>
      <c r="J10" s="27" t="inlineStr">
        <is>
          <t>🚀 科技成長衝刺型 (科技純度極高)</t>
        </is>
      </c>
      <c r="K10" s="27" t="inlineStr">
        <is>
          <t>台積電(39.37%), 聯發科(6.64%), 台達電(3.8%)</t>
        </is>
      </c>
    </row>
    <row r="11" ht="20" customHeight="1">
      <c r="A11" s="20" t="inlineStr">
        <is>
          <t>ETF</t>
        </is>
      </c>
      <c r="B11" s="20" t="inlineStr">
        <is>
          <t>00663L</t>
        </is>
      </c>
      <c r="C11" s="21" t="inlineStr">
        <is>
          <t>國泰臺灣加權正2</t>
        </is>
      </c>
      <c r="D11" s="25" t="n">
        <v>0</v>
      </c>
      <c r="E11" s="25" t="n">
        <v>0</v>
      </c>
      <c r="F11" s="25" t="n">
        <v>0</v>
      </c>
      <c r="G11" s="25" t="n">
        <v>0</v>
      </c>
      <c r="H11" s="25" t="n">
        <v>0</v>
      </c>
      <c r="I11" s="21" t="n">
        <v>0</v>
      </c>
      <c r="J11" s="21" t="inlineStr">
        <is>
          <t>⚖️ 多元均衡配置型</t>
        </is>
      </c>
      <c r="K11" s="21" t="inlineStr">
        <is>
          <t>無</t>
        </is>
      </c>
    </row>
    <row r="12" ht="20" customHeight="1">
      <c r="A12" s="26" t="inlineStr">
        <is>
          <t>ETF</t>
        </is>
      </c>
      <c r="B12" s="26" t="inlineStr">
        <is>
          <t>00916</t>
        </is>
      </c>
      <c r="C12" s="27" t="inlineStr">
        <is>
          <t>國泰全球品牌50</t>
        </is>
      </c>
      <c r="D12" s="31" t="n">
        <v>0</v>
      </c>
      <c r="E12" s="31" t="n">
        <v>0</v>
      </c>
      <c r="F12" s="31" t="n">
        <v>0</v>
      </c>
      <c r="G12" s="31" t="n">
        <v>0</v>
      </c>
      <c r="H12" s="31" t="n">
        <v>0</v>
      </c>
      <c r="I12" s="27" t="n">
        <v>0.9995000000000001</v>
      </c>
      <c r="J12" s="27" t="inlineStr">
        <is>
          <t>🌐 海外國際龍頭配置型</t>
        </is>
      </c>
      <c r="K12" s="27" t="inlineStr">
        <is>
          <t>Apple Inc.(17.36%), Microsoft Corp(14.2%), AMAZON.COM INC(9.31%)</t>
        </is>
      </c>
    </row>
    <row r="13" ht="20" customHeight="1">
      <c r="A13" s="20" t="inlineStr">
        <is>
          <t>ETF</t>
        </is>
      </c>
      <c r="B13" s="20" t="inlineStr">
        <is>
          <t>00636</t>
        </is>
      </c>
      <c r="C13" s="21" t="inlineStr">
        <is>
          <t>國泰中國A50</t>
        </is>
      </c>
      <c r="D13" s="25" t="n">
        <v>0</v>
      </c>
      <c r="E13" s="25" t="n">
        <v>0</v>
      </c>
      <c r="F13" s="25" t="n">
        <v>0</v>
      </c>
      <c r="G13" s="25" t="n">
        <v>0</v>
      </c>
      <c r="H13" s="25" t="n">
        <v>0</v>
      </c>
      <c r="I13" s="21" t="n">
        <v>0.9726999999999997</v>
      </c>
      <c r="J13" s="21" t="inlineStr">
        <is>
          <t>🌐 海外國際龍頭配置型</t>
        </is>
      </c>
      <c r="K13" s="21" t="inlineStr">
        <is>
          <t>貴州茅台(8.74%), 寧德時代(6.41%), 招商銀行(4.6%)</t>
        </is>
      </c>
    </row>
    <row r="14" ht="20" customHeight="1">
      <c r="A14" s="26" t="inlineStr">
        <is>
          <t>ETF</t>
        </is>
      </c>
      <c r="B14" s="26" t="inlineStr">
        <is>
          <t>00735</t>
        </is>
      </c>
      <c r="C14" s="27" t="inlineStr">
        <is>
          <t>國泰臺韓科技</t>
        </is>
      </c>
      <c r="D14" s="29" t="n">
        <v>0.2261</v>
      </c>
      <c r="E14" s="29" t="n">
        <v>0.4155</v>
      </c>
      <c r="F14" s="29" t="n">
        <v>0.6415999999999999</v>
      </c>
      <c r="G14" s="31" t="n">
        <v>0</v>
      </c>
      <c r="H14" s="29" t="n">
        <v>0.009399999999999999</v>
      </c>
      <c r="I14" s="27" t="n">
        <v>0.3295999999999999</v>
      </c>
      <c r="J14" s="27" t="inlineStr">
        <is>
          <t>⚖️ 多元均衡配置型</t>
        </is>
      </c>
      <c r="K14" s="27" t="inlineStr">
        <is>
          <t>台積電(22.61%), Samsung Electron Rg(15.03%), SK Hynix Inc(11.28%)</t>
        </is>
      </c>
    </row>
    <row r="15" ht="20" customHeight="1">
      <c r="A15" s="20" t="inlineStr">
        <is>
          <t>ETF</t>
        </is>
      </c>
      <c r="B15" s="20" t="inlineStr">
        <is>
          <t>00830</t>
        </is>
      </c>
      <c r="C15" s="21" t="inlineStr">
        <is>
          <t>國泰費城半導體</t>
        </is>
      </c>
      <c r="D15" s="25" t="n">
        <v>0</v>
      </c>
      <c r="E15" s="25" t="n">
        <v>0</v>
      </c>
      <c r="F15" s="25" t="n">
        <v>0</v>
      </c>
      <c r="G15" s="25" t="n">
        <v>0</v>
      </c>
      <c r="H15" s="25" t="n">
        <v>0</v>
      </c>
      <c r="I15" s="21" t="n">
        <v>0.9987</v>
      </c>
      <c r="J15" s="21" t="inlineStr">
        <is>
          <t>🌐 海外國際龍頭配置型</t>
        </is>
      </c>
      <c r="K15" s="21" t="inlineStr">
        <is>
          <t>NVIDIA CORPORATION(12.04%), BROADCOM INC(9.22%), Micron Technology Inc(7.71%)</t>
        </is>
      </c>
    </row>
    <row r="16" ht="20" customHeight="1">
      <c r="A16" s="26" t="inlineStr">
        <is>
          <t>ETF</t>
        </is>
      </c>
      <c r="B16" s="26" t="inlineStr">
        <is>
          <t>00770</t>
        </is>
      </c>
      <c r="C16" s="27" t="inlineStr">
        <is>
          <t>國泰北美科技</t>
        </is>
      </c>
      <c r="D16" s="31" t="n">
        <v>0</v>
      </c>
      <c r="E16" s="31" t="n">
        <v>0</v>
      </c>
      <c r="F16" s="31" t="n">
        <v>0</v>
      </c>
      <c r="G16" s="31" t="n">
        <v>0</v>
      </c>
      <c r="H16" s="31" t="n">
        <v>0</v>
      </c>
      <c r="I16" s="27" t="n">
        <v>0.9869000000000027</v>
      </c>
      <c r="J16" s="27" t="inlineStr">
        <is>
          <t>🌐 海外國際龍頭配置型</t>
        </is>
      </c>
      <c r="K16" s="27" t="inlineStr">
        <is>
          <t>Apple Inc.(9.2%), Microsoft Corp(9.18%), NVIDIA CORPORATION(8.21%)</t>
        </is>
      </c>
    </row>
    <row r="17" ht="20" customHeight="1">
      <c r="A17" s="20" t="inlineStr">
        <is>
          <t>ETF</t>
        </is>
      </c>
      <c r="B17" s="20" t="inlineStr">
        <is>
          <t>00893</t>
        </is>
      </c>
      <c r="C17" s="21" t="inlineStr">
        <is>
          <t>國泰智能電動車</t>
        </is>
      </c>
      <c r="D17" s="25" t="n">
        <v>0</v>
      </c>
      <c r="E17" s="23" t="n">
        <v>0.0341</v>
      </c>
      <c r="F17" s="23" t="n">
        <v>0.0341</v>
      </c>
      <c r="G17" s="25" t="n">
        <v>0</v>
      </c>
      <c r="H17" s="25" t="n">
        <v>0</v>
      </c>
      <c r="I17" s="21" t="n">
        <v>0.9521999999999999</v>
      </c>
      <c r="J17" s="21" t="inlineStr">
        <is>
          <t>🌐 海外國際龍頭配置型</t>
        </is>
      </c>
      <c r="K17" s="21" t="inlineStr">
        <is>
          <t>ADV MICRO DEVICES(25.97%), NVIDIA CORPORATION(14.43%), TESLA, INC.(12.32%)</t>
        </is>
      </c>
    </row>
    <row r="18" ht="20" customHeight="1">
      <c r="A18" s="26" t="inlineStr">
        <is>
          <t>共同基金</t>
        </is>
      </c>
      <c r="B18" s="26" t="inlineStr">
        <is>
          <t>CM</t>
        </is>
      </c>
      <c r="C18" s="27" t="inlineStr">
        <is>
          <t>國泰台灣高股息基金(新台幣)-B</t>
        </is>
      </c>
      <c r="D18" s="29" t="n">
        <v>0.0789</v>
      </c>
      <c r="E18" s="29" t="n">
        <v>0.4332</v>
      </c>
      <c r="F18" s="29" t="n">
        <v>0.5121</v>
      </c>
      <c r="G18" s="31" t="n">
        <v>0</v>
      </c>
      <c r="H18" s="31" t="n">
        <v>0</v>
      </c>
      <c r="I18" s="27" t="n">
        <v>0</v>
      </c>
      <c r="J18" s="27" t="inlineStr">
        <is>
          <t>🏆 旗艦主動選股型</t>
        </is>
      </c>
      <c r="K18" s="27" t="inlineStr">
        <is>
          <t>台積電(7.89%), 聯發科(6.57%), 欣  興(5.73%)</t>
        </is>
      </c>
    </row>
    <row r="19" ht="20" customHeight="1">
      <c r="A19" s="20" t="inlineStr">
        <is>
          <t>共同基金</t>
        </is>
      </c>
      <c r="B19" s="20" t="inlineStr">
        <is>
          <t>C4</t>
        </is>
      </c>
      <c r="C19" s="21" t="inlineStr">
        <is>
          <t>國泰美國多重收益平衡基金(新台幣)-B</t>
        </is>
      </c>
      <c r="D19" s="25" t="n">
        <v>0</v>
      </c>
      <c r="E19" s="25" t="n">
        <v>0</v>
      </c>
      <c r="F19" s="25" t="n">
        <v>0</v>
      </c>
      <c r="G19" s="23" t="n">
        <v>0.0228</v>
      </c>
      <c r="H19" s="25" t="n">
        <v>0</v>
      </c>
      <c r="I19" s="21" t="n">
        <v>0.25</v>
      </c>
      <c r="J19" s="21" t="inlineStr">
        <is>
          <t>⚖️ 股債多元收益平衡型</t>
        </is>
      </c>
      <c r="K19" s="21" t="inlineStr">
        <is>
          <t>NVIDIA CORP(4.08%), MICROSOFT CORP(3.85%), ALPHABET INC-C(3.64%)</t>
        </is>
      </c>
    </row>
    <row r="20" ht="20" customHeight="1">
      <c r="A20" s="26" t="inlineStr">
        <is>
          <t>共同基金</t>
        </is>
      </c>
      <c r="B20" s="26" t="inlineStr">
        <is>
          <t>AO</t>
        </is>
      </c>
      <c r="C20" s="27" t="inlineStr">
        <is>
          <t>國泰主順位資產抵押非投資等級債券基金(新台幣)-B</t>
        </is>
      </c>
      <c r="D20" s="31" t="n">
        <v>0</v>
      </c>
      <c r="E20" s="31" t="n">
        <v>0</v>
      </c>
      <c r="F20" s="31" t="n">
        <v>0</v>
      </c>
      <c r="G20" s="31" t="n">
        <v>0</v>
      </c>
      <c r="H20" s="31" t="n">
        <v>0</v>
      </c>
      <c r="I20" s="27" t="n">
        <v>0.09949999999999999</v>
      </c>
      <c r="J20" s="27" t="inlineStr">
        <is>
          <t>🏦 信用債券收益型</t>
        </is>
      </c>
      <c r="K20" s="27" t="inlineStr">
        <is>
          <t>MIDWEST GMNG BOR/MWG FIN(1.17%), 國泰台灣貨幣市場基金(1.11%), WINDSTREAM SERVICES/ESCR(1.06%)</t>
        </is>
      </c>
    </row>
    <row r="21" ht="20" customHeight="1">
      <c r="A21" s="20" t="inlineStr">
        <is>
          <t>共同基金</t>
        </is>
      </c>
      <c r="B21" s="20" t="inlineStr">
        <is>
          <t>DH</t>
        </is>
      </c>
      <c r="C21" s="21" t="inlineStr">
        <is>
          <t>國泰美國優質債券基金(新台幣)-B</t>
        </is>
      </c>
      <c r="D21" s="25" t="n">
        <v>0</v>
      </c>
      <c r="E21" s="25" t="n">
        <v>0</v>
      </c>
      <c r="F21" s="25" t="n">
        <v>0</v>
      </c>
      <c r="G21" s="25" t="n">
        <v>0</v>
      </c>
      <c r="H21" s="25" t="n">
        <v>0</v>
      </c>
      <c r="I21" s="21" t="n">
        <v>0.1514</v>
      </c>
      <c r="J21" s="21" t="inlineStr">
        <is>
          <t>🏦 信用債券收益型</t>
        </is>
      </c>
      <c r="K21" s="21" t="inlineStr">
        <is>
          <t>United States Treasury Note/Bond(1.94%), Black Hills Corp(1.87%), United States Treasury Note/Bond(1.61%)</t>
        </is>
      </c>
    </row>
    <row r="22" ht="20" customHeight="1">
      <c r="A22" s="26" t="inlineStr">
        <is>
          <t>共同基金</t>
        </is>
      </c>
      <c r="B22" s="26" t="inlineStr">
        <is>
          <t>C5</t>
        </is>
      </c>
      <c r="C22" s="27" t="inlineStr">
        <is>
          <t>國泰美國多重收益平衡基金(新台幣)-NB</t>
        </is>
      </c>
      <c r="D22" s="31" t="n">
        <v>0</v>
      </c>
      <c r="E22" s="31" t="n">
        <v>0</v>
      </c>
      <c r="F22" s="31" t="n">
        <v>0</v>
      </c>
      <c r="G22" s="29" t="n">
        <v>0.0228</v>
      </c>
      <c r="H22" s="31" t="n">
        <v>0</v>
      </c>
      <c r="I22" s="27" t="n">
        <v>0.25</v>
      </c>
      <c r="J22" s="27" t="inlineStr">
        <is>
          <t>⚖️ 股債多元收益平衡型</t>
        </is>
      </c>
      <c r="K22" s="27" t="inlineStr">
        <is>
          <t>NVIDIA CORP(4.08%), MICROSOFT CORP(3.85%), ALPHABET INC-C(3.64%)</t>
        </is>
      </c>
    </row>
    <row r="23" ht="20" customHeight="1">
      <c r="A23" s="20" t="inlineStr">
        <is>
          <t>共同基金</t>
        </is>
      </c>
      <c r="B23" s="20" t="inlineStr">
        <is>
          <t>DW</t>
        </is>
      </c>
      <c r="C23" s="21" t="inlineStr">
        <is>
          <t>國泰美國優質債券基金(新台幣)-NB</t>
        </is>
      </c>
      <c r="D23" s="25" t="n">
        <v>0</v>
      </c>
      <c r="E23" s="25" t="n">
        <v>0</v>
      </c>
      <c r="F23" s="25" t="n">
        <v>0</v>
      </c>
      <c r="G23" s="25" t="n">
        <v>0</v>
      </c>
      <c r="H23" s="25" t="n">
        <v>0</v>
      </c>
      <c r="I23" s="21" t="n">
        <v>0.1514</v>
      </c>
      <c r="J23" s="21" t="inlineStr">
        <is>
          <t>🏦 信用債券收益型</t>
        </is>
      </c>
      <c r="K23" s="21" t="inlineStr">
        <is>
          <t>United States Treasury Note/Bond(1.94%), Black Hills Corp(1.87%), United States Treasury Note/Bond(1.61%)</t>
        </is>
      </c>
    </row>
    <row r="24" ht="20" customHeight="1">
      <c r="A24" s="26" t="inlineStr">
        <is>
          <t>共同基金</t>
        </is>
      </c>
      <c r="B24" s="26" t="inlineStr">
        <is>
          <t>AP</t>
        </is>
      </c>
      <c r="C24" s="27" t="inlineStr">
        <is>
          <t>國泰主順位資產抵押非投資等級債券基金(新台幣)-NB</t>
        </is>
      </c>
      <c r="D24" s="31" t="n">
        <v>0</v>
      </c>
      <c r="E24" s="31" t="n">
        <v>0</v>
      </c>
      <c r="F24" s="31" t="n">
        <v>0</v>
      </c>
      <c r="G24" s="31" t="n">
        <v>0</v>
      </c>
      <c r="H24" s="31" t="n">
        <v>0</v>
      </c>
      <c r="I24" s="27" t="n">
        <v>0.09949999999999999</v>
      </c>
      <c r="J24" s="27" t="inlineStr">
        <is>
          <t>🏦 信用債券收益型</t>
        </is>
      </c>
      <c r="K24" s="27" t="inlineStr">
        <is>
          <t>MIDWEST GMNG BOR/MWG FIN(1.17%), 國泰台灣貨幣市場基金(1.11%), WINDSTREAM SERVICES/ESCR(1.06%)</t>
        </is>
      </c>
    </row>
    <row r="25" ht="20" customHeight="1">
      <c r="A25" s="20" t="inlineStr">
        <is>
          <t>共同基金</t>
        </is>
      </c>
      <c r="B25" s="20" t="inlineStr">
        <is>
          <t>CL</t>
        </is>
      </c>
      <c r="C25" s="21" t="inlineStr">
        <is>
          <t>國泰台灣高股息基金(新台幣)-A</t>
        </is>
      </c>
      <c r="D25" s="23" t="n">
        <v>0.0789</v>
      </c>
      <c r="E25" s="23" t="n">
        <v>0.4332</v>
      </c>
      <c r="F25" s="23" t="n">
        <v>0.5121</v>
      </c>
      <c r="G25" s="25" t="n">
        <v>0</v>
      </c>
      <c r="H25" s="25" t="n">
        <v>0</v>
      </c>
      <c r="I25" s="21" t="n">
        <v>0</v>
      </c>
      <c r="J25" s="21" t="inlineStr">
        <is>
          <t>🏆 旗艦主動選股型</t>
        </is>
      </c>
      <c r="K25" s="21" t="inlineStr">
        <is>
          <t>台積電(7.89%), 聯發科(6.57%), 欣  興(5.73%)</t>
        </is>
      </c>
    </row>
    <row r="26" ht="20" customHeight="1">
      <c r="A26" s="26" t="inlineStr">
        <is>
          <t>共同基金</t>
        </is>
      </c>
      <c r="B26" s="26" t="inlineStr">
        <is>
          <t>01</t>
        </is>
      </c>
      <c r="C26" s="27" t="inlineStr">
        <is>
          <t>國泰國泰基金(新台幣)-A</t>
        </is>
      </c>
      <c r="D26" s="31" t="n">
        <v>0</v>
      </c>
      <c r="E26" s="29" t="n">
        <v>0.4507000000000001</v>
      </c>
      <c r="F26" s="29" t="n">
        <v>0.4507000000000001</v>
      </c>
      <c r="G26" s="31" t="n">
        <v>0</v>
      </c>
      <c r="H26" s="31" t="n">
        <v>0</v>
      </c>
      <c r="I26" s="27" t="n">
        <v>0.0363</v>
      </c>
      <c r="J26" s="27" t="inlineStr">
        <is>
          <t>🏆 旗艦主動選股型</t>
        </is>
      </c>
      <c r="K26" s="27" t="inlineStr">
        <is>
          <t>欣  興(6.37%), 環球晶(6.27%), 創  意(5.64%)</t>
        </is>
      </c>
    </row>
    <row r="27" ht="20" customHeight="1">
      <c r="A27" s="20" t="inlineStr">
        <is>
          <t>共同基金</t>
        </is>
      </c>
      <c r="B27" s="20" t="inlineStr">
        <is>
          <t>14</t>
        </is>
      </c>
      <c r="C27" s="21" t="inlineStr">
        <is>
          <t>國泰小龍基金(新台幣)</t>
        </is>
      </c>
      <c r="D27" s="23" t="n">
        <v>0.0537</v>
      </c>
      <c r="E27" s="23" t="n">
        <v>0.5109999999999999</v>
      </c>
      <c r="F27" s="23" t="n">
        <v>0.5646999999999999</v>
      </c>
      <c r="G27" s="25" t="n">
        <v>0</v>
      </c>
      <c r="H27" s="25" t="n">
        <v>0</v>
      </c>
      <c r="I27" s="21" t="n">
        <v>0</v>
      </c>
      <c r="J27" s="21" t="inlineStr">
        <is>
          <t>🏆 旗艦主動選股型</t>
        </is>
      </c>
      <c r="K27" s="21" t="inlineStr">
        <is>
          <t>欣  興(9.15%), 創  意(7.29%), 環球晶(6.94%)</t>
        </is>
      </c>
    </row>
    <row r="28" ht="20" customHeight="1">
      <c r="A28" s="26" t="inlineStr">
        <is>
          <t>共同基金</t>
        </is>
      </c>
      <c r="B28" s="26" t="inlineStr">
        <is>
          <t>03</t>
        </is>
      </c>
      <c r="C28" s="27" t="inlineStr">
        <is>
          <t>國泰中小成長基金(新台幣)-A</t>
        </is>
      </c>
      <c r="D28" s="31" t="n">
        <v>0</v>
      </c>
      <c r="E28" s="29" t="n">
        <v>0.4983</v>
      </c>
      <c r="F28" s="29" t="n">
        <v>0.4983</v>
      </c>
      <c r="G28" s="31" t="n">
        <v>0</v>
      </c>
      <c r="H28" s="29" t="n">
        <v>0.0684</v>
      </c>
      <c r="I28" s="27" t="n">
        <v>0</v>
      </c>
      <c r="J28" s="27" t="inlineStr">
        <is>
          <t>🏆 旗艦主動選股型</t>
        </is>
      </c>
      <c r="K28" s="27" t="inlineStr">
        <is>
          <t>創  意(8.51%), 環球晶(8.19%), 南  亞(6.84%)</t>
        </is>
      </c>
    </row>
    <row r="31" ht="24" customHeight="1">
      <c r="A31" s="4" t="inlineStr">
        <is>
          <t>【各標的前十大核心成分股詳細明細】</t>
        </is>
      </c>
    </row>
    <row r="32" ht="26" customHeight="1">
      <c r="A32" s="15" t="inlineStr">
        <is>
          <t>標的大類</t>
        </is>
      </c>
      <c r="B32" s="15" t="inlineStr">
        <is>
          <t>標的代碼</t>
        </is>
      </c>
      <c r="C32" s="15" t="inlineStr">
        <is>
          <t>標的簡稱</t>
        </is>
      </c>
      <c r="D32" s="15" t="inlineStr">
        <is>
          <t>成分股排名</t>
        </is>
      </c>
      <c r="E32" s="15" t="inlineStr">
        <is>
          <t>成分股代碼</t>
        </is>
      </c>
      <c r="F32" s="15" t="inlineStr">
        <is>
          <t>成分股名稱</t>
        </is>
      </c>
      <c r="G32" s="15" t="inlineStr">
        <is>
          <t>產業類別</t>
        </is>
      </c>
      <c r="H32" s="15" t="inlineStr">
        <is>
          <t>持股權重</t>
        </is>
      </c>
      <c r="I32" s="15" t="inlineStr">
        <is>
          <t>持股股數/面額</t>
        </is>
      </c>
    </row>
    <row r="33" ht="19" customHeight="1">
      <c r="A33" s="20" t="inlineStr">
        <is>
          <t>ETF</t>
        </is>
      </c>
      <c r="B33" s="20" t="inlineStr">
        <is>
          <t>00400A</t>
        </is>
      </c>
      <c r="C33" s="21" t="inlineStr">
        <is>
          <t>主動國泰動能高息</t>
        </is>
      </c>
      <c r="D33" s="20" t="n">
        <v>1</v>
      </c>
      <c r="E33" s="20" t="inlineStr">
        <is>
          <t>2330</t>
        </is>
      </c>
      <c r="F33" s="21" t="inlineStr">
        <is>
          <t>台積電</t>
        </is>
      </c>
      <c r="G33" s="21" t="inlineStr">
        <is>
          <t>台積電 (半導體)</t>
        </is>
      </c>
      <c r="H33" s="23" t="n">
        <v>0.08710000000000001</v>
      </c>
      <c r="I33" s="21" t="inlineStr">
        <is>
          <t>1,094,000</t>
        </is>
      </c>
    </row>
    <row r="34" ht="19" customHeight="1">
      <c r="A34" s="26" t="inlineStr">
        <is>
          <t>ETF</t>
        </is>
      </c>
      <c r="B34" s="26" t="inlineStr">
        <is>
          <t>00400A</t>
        </is>
      </c>
      <c r="C34" s="27" t="inlineStr">
        <is>
          <t>主動國泰動能高息</t>
        </is>
      </c>
      <c r="D34" s="26" t="n">
        <v>2</v>
      </c>
      <c r="E34" s="26" t="inlineStr">
        <is>
          <t>2454</t>
        </is>
      </c>
      <c r="F34" s="27" t="inlineStr">
        <is>
          <t>聯發科</t>
        </is>
      </c>
      <c r="G34" s="27" t="inlineStr">
        <is>
          <t>科技電子</t>
        </is>
      </c>
      <c r="H34" s="29" t="n">
        <v>0.0616</v>
      </c>
      <c r="I34" s="27" t="inlineStr">
        <is>
          <t>445,000</t>
        </is>
      </c>
    </row>
    <row r="35" ht="19" customHeight="1">
      <c r="A35" s="20" t="inlineStr">
        <is>
          <t>ETF</t>
        </is>
      </c>
      <c r="B35" s="20" t="inlineStr">
        <is>
          <t>00400A</t>
        </is>
      </c>
      <c r="C35" s="21" t="inlineStr">
        <is>
          <t>主動國泰動能高息</t>
        </is>
      </c>
      <c r="D35" s="20" t="n">
        <v>3</v>
      </c>
      <c r="E35" s="20" t="inlineStr">
        <is>
          <t>2383</t>
        </is>
      </c>
      <c r="F35" s="21" t="inlineStr">
        <is>
          <t>台光電</t>
        </is>
      </c>
      <c r="G35" s="21" t="inlineStr">
        <is>
          <t>科技電子</t>
        </is>
      </c>
      <c r="H35" s="25" t="n">
        <v>0.0428</v>
      </c>
      <c r="I35" s="21" t="inlineStr">
        <is>
          <t>254,000</t>
        </is>
      </c>
    </row>
    <row r="36" ht="19" customHeight="1">
      <c r="A36" s="26" t="inlineStr">
        <is>
          <t>ETF</t>
        </is>
      </c>
      <c r="B36" s="26" t="inlineStr">
        <is>
          <t>00400A</t>
        </is>
      </c>
      <c r="C36" s="27" t="inlineStr">
        <is>
          <t>主動國泰動能高息</t>
        </is>
      </c>
      <c r="D36" s="26" t="n">
        <v>4</v>
      </c>
      <c r="E36" s="26" t="inlineStr">
        <is>
          <t>1303</t>
        </is>
      </c>
      <c r="F36" s="27" t="inlineStr">
        <is>
          <t>南亞</t>
        </is>
      </c>
      <c r="G36" s="27" t="inlineStr">
        <is>
          <t>傳統產業</t>
        </is>
      </c>
      <c r="H36" s="31" t="n">
        <v>0.0416</v>
      </c>
      <c r="I36" s="27" t="inlineStr">
        <is>
          <t>4,167,000</t>
        </is>
      </c>
    </row>
    <row r="37" ht="19" customHeight="1">
      <c r="A37" s="20" t="inlineStr">
        <is>
          <t>ETF</t>
        </is>
      </c>
      <c r="B37" s="20" t="inlineStr">
        <is>
          <t>00400A</t>
        </is>
      </c>
      <c r="C37" s="21" t="inlineStr">
        <is>
          <t>主動國泰動能高息</t>
        </is>
      </c>
      <c r="D37" s="20" t="n">
        <v>5</v>
      </c>
      <c r="E37" s="20" t="inlineStr">
        <is>
          <t>3037</t>
        </is>
      </c>
      <c r="F37" s="21" t="inlineStr">
        <is>
          <t>欣興</t>
        </is>
      </c>
      <c r="G37" s="21" t="inlineStr">
        <is>
          <t>科技電子</t>
        </is>
      </c>
      <c r="H37" s="25" t="n">
        <v>0.0394</v>
      </c>
      <c r="I37" s="21" t="inlineStr">
        <is>
          <t>1,069,000</t>
        </is>
      </c>
    </row>
    <row r="38" ht="19" customHeight="1">
      <c r="A38" s="26" t="inlineStr">
        <is>
          <t>ETF</t>
        </is>
      </c>
      <c r="B38" s="26" t="inlineStr">
        <is>
          <t>00400A</t>
        </is>
      </c>
      <c r="C38" s="27" t="inlineStr">
        <is>
          <t>主動國泰動能高息</t>
        </is>
      </c>
      <c r="D38" s="26" t="n">
        <v>6</v>
      </c>
      <c r="E38" s="26" t="inlineStr">
        <is>
          <t>3017</t>
        </is>
      </c>
      <c r="F38" s="27" t="inlineStr">
        <is>
          <t>奇鋐</t>
        </is>
      </c>
      <c r="G38" s="27" t="inlineStr">
        <is>
          <t>科技電子</t>
        </is>
      </c>
      <c r="H38" s="31" t="n">
        <v>0.0359</v>
      </c>
      <c r="I38" s="27" t="inlineStr">
        <is>
          <t>329,000</t>
        </is>
      </c>
    </row>
    <row r="39" ht="19" customHeight="1">
      <c r="A39" s="20" t="inlineStr">
        <is>
          <t>ETF</t>
        </is>
      </c>
      <c r="B39" s="20" t="inlineStr">
        <is>
          <t>00400A</t>
        </is>
      </c>
      <c r="C39" s="21" t="inlineStr">
        <is>
          <t>主動國泰動能高息</t>
        </is>
      </c>
      <c r="D39" s="20" t="n">
        <v>7</v>
      </c>
      <c r="E39" s="20" t="inlineStr">
        <is>
          <t>3653</t>
        </is>
      </c>
      <c r="F39" s="21" t="inlineStr">
        <is>
          <t>健策</t>
        </is>
      </c>
      <c r="G39" s="21" t="inlineStr">
        <is>
          <t>科技電子</t>
        </is>
      </c>
      <c r="H39" s="25" t="n">
        <v>0.0332</v>
      </c>
      <c r="I39" s="21" t="inlineStr">
        <is>
          <t>154,000</t>
        </is>
      </c>
    </row>
    <row r="40" ht="19" customHeight="1">
      <c r="A40" s="26" t="inlineStr">
        <is>
          <t>ETF</t>
        </is>
      </c>
      <c r="B40" s="26" t="inlineStr">
        <is>
          <t>00400A</t>
        </is>
      </c>
      <c r="C40" s="27" t="inlineStr">
        <is>
          <t>主動國泰動能高息</t>
        </is>
      </c>
      <c r="D40" s="26" t="n">
        <v>8</v>
      </c>
      <c r="E40" s="26" t="inlineStr">
        <is>
          <t>6223</t>
        </is>
      </c>
      <c r="F40" s="27" t="inlineStr">
        <is>
          <t>旺矽</t>
        </is>
      </c>
      <c r="G40" s="27" t="inlineStr">
        <is>
          <t>科技電子</t>
        </is>
      </c>
      <c r="H40" s="31" t="n">
        <v>0.0312</v>
      </c>
      <c r="I40" s="27" t="inlineStr">
        <is>
          <t>181,000</t>
        </is>
      </c>
    </row>
    <row r="41" ht="19" customHeight="1">
      <c r="A41" s="20" t="inlineStr">
        <is>
          <t>ETF</t>
        </is>
      </c>
      <c r="B41" s="20" t="inlineStr">
        <is>
          <t>00400A</t>
        </is>
      </c>
      <c r="C41" s="21" t="inlineStr">
        <is>
          <t>主動國泰動能高息</t>
        </is>
      </c>
      <c r="D41" s="20" t="n">
        <v>9</v>
      </c>
      <c r="E41" s="20" t="inlineStr">
        <is>
          <t>2360</t>
        </is>
      </c>
      <c r="F41" s="21" t="inlineStr">
        <is>
          <t>致茂</t>
        </is>
      </c>
      <c r="G41" s="21" t="inlineStr">
        <is>
          <t>科技電子</t>
        </is>
      </c>
      <c r="H41" s="25" t="n">
        <v>0.031</v>
      </c>
      <c r="I41" s="21" t="inlineStr">
        <is>
          <t>470,000</t>
        </is>
      </c>
    </row>
    <row r="42" ht="19" customHeight="1">
      <c r="A42" s="26" t="inlineStr">
        <is>
          <t>ETF</t>
        </is>
      </c>
      <c r="B42" s="26" t="inlineStr">
        <is>
          <t>00400A</t>
        </is>
      </c>
      <c r="C42" s="27" t="inlineStr">
        <is>
          <t>主動國泰動能高息</t>
        </is>
      </c>
      <c r="D42" s="26" t="n">
        <v>10</v>
      </c>
      <c r="E42" s="26" t="inlineStr">
        <is>
          <t>2368</t>
        </is>
      </c>
      <c r="F42" s="27" t="inlineStr">
        <is>
          <t>金像電</t>
        </is>
      </c>
      <c r="G42" s="27" t="inlineStr">
        <is>
          <t>科技電子</t>
        </is>
      </c>
      <c r="H42" s="31" t="n">
        <v>0.0302</v>
      </c>
      <c r="I42" s="27" t="inlineStr">
        <is>
          <t>734,000</t>
        </is>
      </c>
    </row>
    <row r="43" ht="19" customHeight="1">
      <c r="A43" s="20" t="inlineStr">
        <is>
          <t>ETF</t>
        </is>
      </c>
      <c r="B43" s="20" t="inlineStr">
        <is>
          <t>00878</t>
        </is>
      </c>
      <c r="C43" s="21" t="inlineStr">
        <is>
          <t>國泰永續高股息</t>
        </is>
      </c>
      <c r="D43" s="20" t="n">
        <v>1</v>
      </c>
      <c r="E43" s="20" t="inlineStr">
        <is>
          <t>2891</t>
        </is>
      </c>
      <c r="F43" s="21" t="inlineStr">
        <is>
          <t>中信金</t>
        </is>
      </c>
      <c r="G43" s="21" t="inlineStr">
        <is>
          <t>金融保險</t>
        </is>
      </c>
      <c r="H43" s="23" t="n">
        <v>0.1022</v>
      </c>
      <c r="I43" s="21" t="inlineStr">
        <is>
          <t>928,342,000</t>
        </is>
      </c>
    </row>
    <row r="44" ht="19" customHeight="1">
      <c r="A44" s="26" t="inlineStr">
        <is>
          <t>ETF</t>
        </is>
      </c>
      <c r="B44" s="26" t="inlineStr">
        <is>
          <t>00878</t>
        </is>
      </c>
      <c r="C44" s="27" t="inlineStr">
        <is>
          <t>國泰永續高股息</t>
        </is>
      </c>
      <c r="D44" s="26" t="n">
        <v>2</v>
      </c>
      <c r="E44" s="26" t="inlineStr">
        <is>
          <t>2382</t>
        </is>
      </c>
      <c r="F44" s="27" t="inlineStr">
        <is>
          <t>廣達</t>
        </is>
      </c>
      <c r="G44" s="27" t="inlineStr">
        <is>
          <t>科技電子</t>
        </is>
      </c>
      <c r="H44" s="29" t="n">
        <v>0.0851</v>
      </c>
      <c r="I44" s="27" t="inlineStr">
        <is>
          <t>180,259,000</t>
        </is>
      </c>
    </row>
    <row r="45" ht="19" customHeight="1">
      <c r="A45" s="20" t="inlineStr">
        <is>
          <t>ETF</t>
        </is>
      </c>
      <c r="B45" s="20" t="inlineStr">
        <is>
          <t>00878</t>
        </is>
      </c>
      <c r="C45" s="21" t="inlineStr">
        <is>
          <t>國泰永續高股息</t>
        </is>
      </c>
      <c r="D45" s="20" t="n">
        <v>3</v>
      </c>
      <c r="E45" s="20" t="inlineStr">
        <is>
          <t>2882</t>
        </is>
      </c>
      <c r="F45" s="21" t="inlineStr">
        <is>
          <t>國泰金</t>
        </is>
      </c>
      <c r="G45" s="21" t="inlineStr">
        <is>
          <t>金融保險</t>
        </is>
      </c>
      <c r="H45" s="23" t="n">
        <v>0.0654</v>
      </c>
      <c r="I45" s="21" t="inlineStr">
        <is>
          <t>380,724,486</t>
        </is>
      </c>
    </row>
    <row r="46" ht="19" customHeight="1">
      <c r="A46" s="26" t="inlineStr">
        <is>
          <t>ETF</t>
        </is>
      </c>
      <c r="B46" s="26" t="inlineStr">
        <is>
          <t>00878</t>
        </is>
      </c>
      <c r="C46" s="27" t="inlineStr">
        <is>
          <t>國泰永續高股息</t>
        </is>
      </c>
      <c r="D46" s="26" t="n">
        <v>4</v>
      </c>
      <c r="E46" s="26" t="inlineStr">
        <is>
          <t>2357</t>
        </is>
      </c>
      <c r="F46" s="27" t="inlineStr">
        <is>
          <t>華碩</t>
        </is>
      </c>
      <c r="G46" s="27" t="inlineStr">
        <is>
          <t>科技電子</t>
        </is>
      </c>
      <c r="H46" s="29" t="n">
        <v>0.0576</v>
      </c>
      <c r="I46" s="27" t="inlineStr">
        <is>
          <t>39,612,000</t>
        </is>
      </c>
    </row>
    <row r="47" ht="19" customHeight="1">
      <c r="A47" s="20" t="inlineStr">
        <is>
          <t>ETF</t>
        </is>
      </c>
      <c r="B47" s="20" t="inlineStr">
        <is>
          <t>00878</t>
        </is>
      </c>
      <c r="C47" s="21" t="inlineStr">
        <is>
          <t>國泰永續高股息</t>
        </is>
      </c>
      <c r="D47" s="20" t="n">
        <v>5</v>
      </c>
      <c r="E47" s="20" t="inlineStr">
        <is>
          <t>2603</t>
        </is>
      </c>
      <c r="F47" s="21" t="inlineStr">
        <is>
          <t>長榮</t>
        </is>
      </c>
      <c r="G47" s="21" t="inlineStr">
        <is>
          <t>傳統產業</t>
        </is>
      </c>
      <c r="H47" s="25" t="n">
        <v>0.0445</v>
      </c>
      <c r="I47" s="21" t="inlineStr">
        <is>
          <t>113,112,000</t>
        </is>
      </c>
    </row>
    <row r="48" ht="19" customHeight="1">
      <c r="A48" s="26" t="inlineStr">
        <is>
          <t>ETF</t>
        </is>
      </c>
      <c r="B48" s="26" t="inlineStr">
        <is>
          <t>00878</t>
        </is>
      </c>
      <c r="C48" s="27" t="inlineStr">
        <is>
          <t>國泰永續高股息</t>
        </is>
      </c>
      <c r="D48" s="26" t="n">
        <v>6</v>
      </c>
      <c r="E48" s="26" t="inlineStr">
        <is>
          <t>2887</t>
        </is>
      </c>
      <c r="F48" s="27" t="inlineStr">
        <is>
          <t>台新新光金</t>
        </is>
      </c>
      <c r="G48" s="27" t="inlineStr">
        <is>
          <t>金融保險</t>
        </is>
      </c>
      <c r="H48" s="31" t="n">
        <v>0.0385</v>
      </c>
      <c r="I48" s="27" t="inlineStr">
        <is>
          <t>605,933,270</t>
        </is>
      </c>
    </row>
    <row r="49" ht="19" customHeight="1">
      <c r="A49" s="20" t="inlineStr">
        <is>
          <t>ETF</t>
        </is>
      </c>
      <c r="B49" s="20" t="inlineStr">
        <is>
          <t>00878</t>
        </is>
      </c>
      <c r="C49" s="21" t="inlineStr">
        <is>
          <t>國泰永續高股息</t>
        </is>
      </c>
      <c r="D49" s="20" t="n">
        <v>7</v>
      </c>
      <c r="E49" s="20" t="inlineStr">
        <is>
          <t>2303</t>
        </is>
      </c>
      <c r="F49" s="21" t="inlineStr">
        <is>
          <t>聯電</t>
        </is>
      </c>
      <c r="G49" s="21" t="inlineStr">
        <is>
          <t>科技電子</t>
        </is>
      </c>
      <c r="H49" s="25" t="n">
        <v>0.03759999999999999</v>
      </c>
      <c r="I49" s="21" t="inlineStr">
        <is>
          <t>190,844,000</t>
        </is>
      </c>
    </row>
    <row r="50" ht="19" customHeight="1">
      <c r="A50" s="26" t="inlineStr">
        <is>
          <t>ETF</t>
        </is>
      </c>
      <c r="B50" s="26" t="inlineStr">
        <is>
          <t>00878</t>
        </is>
      </c>
      <c r="C50" s="27" t="inlineStr">
        <is>
          <t>國泰永續高股息</t>
        </is>
      </c>
      <c r="D50" s="26" t="n">
        <v>8</v>
      </c>
      <c r="E50" s="26" t="inlineStr">
        <is>
          <t>2880</t>
        </is>
      </c>
      <c r="F50" s="27" t="inlineStr">
        <is>
          <t>華南金</t>
        </is>
      </c>
      <c r="G50" s="27" t="inlineStr">
        <is>
          <t>金融保險</t>
        </is>
      </c>
      <c r="H50" s="31" t="n">
        <v>0.0329</v>
      </c>
      <c r="I50" s="27" t="inlineStr">
        <is>
          <t>450,442,250</t>
        </is>
      </c>
    </row>
    <row r="51" ht="19" customHeight="1">
      <c r="A51" s="20" t="inlineStr">
        <is>
          <t>ETF</t>
        </is>
      </c>
      <c r="B51" s="20" t="inlineStr">
        <is>
          <t>00878</t>
        </is>
      </c>
      <c r="C51" s="21" t="inlineStr">
        <is>
          <t>國泰永續高股息</t>
        </is>
      </c>
      <c r="D51" s="20" t="n">
        <v>9</v>
      </c>
      <c r="E51" s="20" t="inlineStr">
        <is>
          <t>2454</t>
        </is>
      </c>
      <c r="F51" s="21" t="inlineStr">
        <is>
          <t>聯發科</t>
        </is>
      </c>
      <c r="G51" s="21" t="inlineStr">
        <is>
          <t>科技電子</t>
        </is>
      </c>
      <c r="H51" s="25" t="n">
        <v>0.0327</v>
      </c>
      <c r="I51" s="21" t="inlineStr">
        <is>
          <t>5,179,000</t>
        </is>
      </c>
    </row>
    <row r="52" ht="19" customHeight="1">
      <c r="A52" s="26" t="inlineStr">
        <is>
          <t>ETF</t>
        </is>
      </c>
      <c r="B52" s="26" t="inlineStr">
        <is>
          <t>00878</t>
        </is>
      </c>
      <c r="C52" s="27" t="inlineStr">
        <is>
          <t>國泰永續高股息</t>
        </is>
      </c>
      <c r="D52" s="26" t="n">
        <v>10</v>
      </c>
      <c r="E52" s="26" t="inlineStr">
        <is>
          <t>2379</t>
        </is>
      </c>
      <c r="F52" s="27" t="inlineStr">
        <is>
          <t>瑞昱</t>
        </is>
      </c>
      <c r="G52" s="27" t="inlineStr">
        <is>
          <t>科技電子</t>
        </is>
      </c>
      <c r="H52" s="31" t="n">
        <v>0.0325</v>
      </c>
      <c r="I52" s="27" t="inlineStr">
        <is>
          <t>27,834,000</t>
        </is>
      </c>
    </row>
    <row r="53" ht="19" customHeight="1">
      <c r="A53" s="20" t="inlineStr">
        <is>
          <t>ETF</t>
        </is>
      </c>
      <c r="B53" s="20" t="inlineStr">
        <is>
          <t>00933B</t>
        </is>
      </c>
      <c r="C53" s="21" t="inlineStr">
        <is>
          <t>國泰10Y+金融債</t>
        </is>
      </c>
      <c r="D53" s="20" t="n">
        <v>1</v>
      </c>
      <c r="E53" s="20" t="inlineStr"/>
      <c r="F53" s="21" t="inlineStr">
        <is>
          <t>GOLDMAN SACHS GROUP INC 6.75-2037/10/01</t>
        </is>
      </c>
      <c r="G53" s="21" t="inlineStr">
        <is>
          <t>其他產業</t>
        </is>
      </c>
      <c r="H53" s="25" t="n">
        <v>0</v>
      </c>
      <c r="I53" s="21" t="inlineStr"/>
    </row>
    <row r="54" ht="19" customHeight="1">
      <c r="A54" s="26" t="inlineStr">
        <is>
          <t>ETF</t>
        </is>
      </c>
      <c r="B54" s="26" t="inlineStr">
        <is>
          <t>00933B</t>
        </is>
      </c>
      <c r="C54" s="27" t="inlineStr">
        <is>
          <t>國泰10Y+金融債</t>
        </is>
      </c>
      <c r="D54" s="26" t="n">
        <v>2</v>
      </c>
      <c r="E54" s="26" t="inlineStr"/>
      <c r="F54" s="27" t="inlineStr">
        <is>
          <t>JPMORGAN CHASE &amp; CO 5.534-2045/11/29</t>
        </is>
      </c>
      <c r="G54" s="27" t="inlineStr">
        <is>
          <t>其他產業</t>
        </is>
      </c>
      <c r="H54" s="31" t="n">
        <v>0</v>
      </c>
      <c r="I54" s="27" t="inlineStr"/>
    </row>
    <row r="55" ht="19" customHeight="1">
      <c r="A55" s="20" t="inlineStr">
        <is>
          <t>ETF</t>
        </is>
      </c>
      <c r="B55" s="20" t="inlineStr">
        <is>
          <t>00933B</t>
        </is>
      </c>
      <c r="C55" s="21" t="inlineStr">
        <is>
          <t>國泰10Y+金融債</t>
        </is>
      </c>
      <c r="D55" s="20" t="n">
        <v>3</v>
      </c>
      <c r="E55" s="20" t="inlineStr"/>
      <c r="F55" s="21" t="inlineStr">
        <is>
          <t>JPMORGAN CHASE &amp; CO 6.4-2038/05/15</t>
        </is>
      </c>
      <c r="G55" s="21" t="inlineStr">
        <is>
          <t>其他產業</t>
        </is>
      </c>
      <c r="H55" s="25" t="n">
        <v>0</v>
      </c>
      <c r="I55" s="21" t="inlineStr"/>
    </row>
    <row r="56" ht="19" customHeight="1">
      <c r="A56" s="26" t="inlineStr">
        <is>
          <t>ETF</t>
        </is>
      </c>
      <c r="B56" s="26" t="inlineStr">
        <is>
          <t>00933B</t>
        </is>
      </c>
      <c r="C56" s="27" t="inlineStr">
        <is>
          <t>國泰10Y+金融債</t>
        </is>
      </c>
      <c r="D56" s="26" t="n">
        <v>4</v>
      </c>
      <c r="E56" s="26" t="inlineStr"/>
      <c r="F56" s="27" t="inlineStr">
        <is>
          <t>BANK OF AMERICA CORP 7.75-2038/05/14</t>
        </is>
      </c>
      <c r="G56" s="27" t="inlineStr">
        <is>
          <t>其他產業</t>
        </is>
      </c>
      <c r="H56" s="31" t="n">
        <v>0</v>
      </c>
      <c r="I56" s="27" t="inlineStr"/>
    </row>
    <row r="57" ht="19" customHeight="1">
      <c r="A57" s="20" t="inlineStr">
        <is>
          <t>ETF</t>
        </is>
      </c>
      <c r="B57" s="20" t="inlineStr">
        <is>
          <t>00933B</t>
        </is>
      </c>
      <c r="C57" s="21" t="inlineStr">
        <is>
          <t>國泰10Y+金融債</t>
        </is>
      </c>
      <c r="D57" s="20" t="n">
        <v>5</v>
      </c>
      <c r="E57" s="20" t="inlineStr"/>
      <c r="F57" s="21" t="inlineStr">
        <is>
          <t>MORGAN STANLEY 6.375-2042/07/24</t>
        </is>
      </c>
      <c r="G57" s="21" t="inlineStr">
        <is>
          <t>其他產業</t>
        </is>
      </c>
      <c r="H57" s="25" t="n">
        <v>0</v>
      </c>
      <c r="I57" s="21" t="inlineStr"/>
    </row>
    <row r="58" ht="19" customHeight="1">
      <c r="A58" s="26" t="inlineStr">
        <is>
          <t>ETF</t>
        </is>
      </c>
      <c r="B58" s="26" t="inlineStr">
        <is>
          <t>00933B</t>
        </is>
      </c>
      <c r="C58" s="27" t="inlineStr">
        <is>
          <t>國泰10Y+金融債</t>
        </is>
      </c>
      <c r="D58" s="26" t="n">
        <v>6</v>
      </c>
      <c r="E58" s="26" t="inlineStr"/>
      <c r="F58" s="27" t="inlineStr">
        <is>
          <t>GOLDMAN SACHS GROUP INC 5.734-2056/01/28</t>
        </is>
      </c>
      <c r="G58" s="27" t="inlineStr">
        <is>
          <t>其他產業</t>
        </is>
      </c>
      <c r="H58" s="31" t="n">
        <v>0</v>
      </c>
      <c r="I58" s="27" t="inlineStr"/>
    </row>
    <row r="59" ht="19" customHeight="1">
      <c r="A59" s="20" t="inlineStr">
        <is>
          <t>ETF</t>
        </is>
      </c>
      <c r="B59" s="20" t="inlineStr">
        <is>
          <t>00933B</t>
        </is>
      </c>
      <c r="C59" s="21" t="inlineStr">
        <is>
          <t>國泰10Y+金融債</t>
        </is>
      </c>
      <c r="D59" s="20" t="n">
        <v>7</v>
      </c>
      <c r="E59" s="20" t="inlineStr"/>
      <c r="F59" s="21" t="inlineStr">
        <is>
          <t>GOLDMAN SACHS GROUP INC 5.561-2045/11/19</t>
        </is>
      </c>
      <c r="G59" s="21" t="inlineStr">
        <is>
          <t>其他產業</t>
        </is>
      </c>
      <c r="H59" s="25" t="n">
        <v>0</v>
      </c>
      <c r="I59" s="21" t="inlineStr"/>
    </row>
    <row r="60" ht="19" customHeight="1">
      <c r="A60" s="26" t="inlineStr">
        <is>
          <t>ETF</t>
        </is>
      </c>
      <c r="B60" s="26" t="inlineStr">
        <is>
          <t>00933B</t>
        </is>
      </c>
      <c r="C60" s="27" t="inlineStr">
        <is>
          <t>國泰10Y+金融債</t>
        </is>
      </c>
      <c r="D60" s="26" t="n">
        <v>8</v>
      </c>
      <c r="E60" s="26" t="inlineStr"/>
      <c r="F60" s="27" t="inlineStr">
        <is>
          <t>GOLDMAN SACHS GROUP INC 6.25-2041/02/01</t>
        </is>
      </c>
      <c r="G60" s="27" t="inlineStr">
        <is>
          <t>其他產業</t>
        </is>
      </c>
      <c r="H60" s="31" t="n">
        <v>0</v>
      </c>
      <c r="I60" s="27" t="inlineStr"/>
    </row>
    <row r="61" ht="19" customHeight="1">
      <c r="A61" s="20" t="inlineStr">
        <is>
          <t>ETF</t>
        </is>
      </c>
      <c r="B61" s="20" t="inlineStr">
        <is>
          <t>00933B</t>
        </is>
      </c>
      <c r="C61" s="21" t="inlineStr">
        <is>
          <t>國泰10Y+金融債</t>
        </is>
      </c>
      <c r="D61" s="20" t="n">
        <v>9</v>
      </c>
      <c r="E61" s="20" t="inlineStr"/>
      <c r="F61" s="21" t="inlineStr">
        <is>
          <t>MORGAN STANLEY 5.516-2055/11/19</t>
        </is>
      </c>
      <c r="G61" s="21" t="inlineStr">
        <is>
          <t>其他產業</t>
        </is>
      </c>
      <c r="H61" s="25" t="n">
        <v>0</v>
      </c>
      <c r="I61" s="21" t="inlineStr"/>
    </row>
    <row r="62" ht="19" customHeight="1">
      <c r="A62" s="26" t="inlineStr">
        <is>
          <t>ETF</t>
        </is>
      </c>
      <c r="B62" s="26" t="inlineStr">
        <is>
          <t>00933B</t>
        </is>
      </c>
      <c r="C62" s="27" t="inlineStr">
        <is>
          <t>國泰10Y+金融債</t>
        </is>
      </c>
      <c r="D62" s="26" t="n">
        <v>10</v>
      </c>
      <c r="E62" s="26" t="inlineStr"/>
      <c r="F62" s="27" t="inlineStr">
        <is>
          <t>BANK OF AMERICA CORP 6.11-2037/01/29</t>
        </is>
      </c>
      <c r="G62" s="27" t="inlineStr">
        <is>
          <t>其他產業</t>
        </is>
      </c>
      <c r="H62" s="31" t="n">
        <v>0</v>
      </c>
      <c r="I62" s="27" t="inlineStr"/>
    </row>
    <row r="63" ht="19" customHeight="1">
      <c r="A63" s="20" t="inlineStr">
        <is>
          <t>ETF</t>
        </is>
      </c>
      <c r="B63" s="20" t="inlineStr">
        <is>
          <t>00725B</t>
        </is>
      </c>
      <c r="C63" s="21" t="inlineStr">
        <is>
          <t>國泰投資級公司債</t>
        </is>
      </c>
      <c r="D63" s="20" t="n">
        <v>1</v>
      </c>
      <c r="E63" s="20" t="inlineStr"/>
      <c r="F63" s="21" t="inlineStr">
        <is>
          <t>INTEL CORP 5.9-2063/02/10</t>
        </is>
      </c>
      <c r="G63" s="21" t="inlineStr">
        <is>
          <t>海外/全球股票</t>
        </is>
      </c>
      <c r="H63" s="25" t="n">
        <v>0</v>
      </c>
      <c r="I63" s="21" t="inlineStr"/>
    </row>
    <row r="64" ht="19" customHeight="1">
      <c r="A64" s="26" t="inlineStr">
        <is>
          <t>ETF</t>
        </is>
      </c>
      <c r="B64" s="26" t="inlineStr">
        <is>
          <t>00725B</t>
        </is>
      </c>
      <c r="C64" s="27" t="inlineStr">
        <is>
          <t>國泰投資級公司債</t>
        </is>
      </c>
      <c r="D64" s="26" t="n">
        <v>2</v>
      </c>
      <c r="E64" s="26" t="inlineStr"/>
      <c r="F64" s="27" t="inlineStr">
        <is>
          <t>RTX CORP 6.4-2054/03/15</t>
        </is>
      </c>
      <c r="G64" s="27" t="inlineStr">
        <is>
          <t>其他產業</t>
        </is>
      </c>
      <c r="H64" s="31" t="n">
        <v>0</v>
      </c>
      <c r="I64" s="27" t="inlineStr"/>
    </row>
    <row r="65" ht="19" customHeight="1">
      <c r="A65" s="20" t="inlineStr">
        <is>
          <t>ETF</t>
        </is>
      </c>
      <c r="B65" s="20" t="inlineStr">
        <is>
          <t>00725B</t>
        </is>
      </c>
      <c r="C65" s="21" t="inlineStr">
        <is>
          <t>國泰投資級公司債</t>
        </is>
      </c>
      <c r="D65" s="20" t="n">
        <v>3</v>
      </c>
      <c r="E65" s="20" t="inlineStr"/>
      <c r="F65" s="21" t="inlineStr">
        <is>
          <t>AT&amp;T INC 6.05-2056/08/15</t>
        </is>
      </c>
      <c r="G65" s="21" t="inlineStr">
        <is>
          <t>其他產業</t>
        </is>
      </c>
      <c r="H65" s="25" t="n">
        <v>0</v>
      </c>
      <c r="I65" s="21" t="inlineStr"/>
    </row>
    <row r="66" ht="19" customHeight="1">
      <c r="A66" s="26" t="inlineStr">
        <is>
          <t>ETF</t>
        </is>
      </c>
      <c r="B66" s="26" t="inlineStr">
        <is>
          <t>00725B</t>
        </is>
      </c>
      <c r="C66" s="27" t="inlineStr">
        <is>
          <t>國泰投資級公司債</t>
        </is>
      </c>
      <c r="D66" s="26" t="n">
        <v>4</v>
      </c>
      <c r="E66" s="26" t="inlineStr"/>
      <c r="F66" s="27" t="inlineStr">
        <is>
          <t>ONEOK INC 6.625-2053/09/01</t>
        </is>
      </c>
      <c r="G66" s="27" t="inlineStr">
        <is>
          <t>其他產業</t>
        </is>
      </c>
      <c r="H66" s="31" t="n">
        <v>0</v>
      </c>
      <c r="I66" s="27" t="inlineStr"/>
    </row>
    <row r="67" ht="19" customHeight="1">
      <c r="A67" s="20" t="inlineStr">
        <is>
          <t>ETF</t>
        </is>
      </c>
      <c r="B67" s="20" t="inlineStr">
        <is>
          <t>00725B</t>
        </is>
      </c>
      <c r="C67" s="21" t="inlineStr">
        <is>
          <t>國泰投資級公司債</t>
        </is>
      </c>
      <c r="D67" s="20" t="n">
        <v>5</v>
      </c>
      <c r="E67" s="20" t="inlineStr"/>
      <c r="F67" s="21" t="inlineStr">
        <is>
          <t>ORACLE CORP 6.9-2052/11/09</t>
        </is>
      </c>
      <c r="G67" s="21" t="inlineStr">
        <is>
          <t>其他產業</t>
        </is>
      </c>
      <c r="H67" s="25" t="n">
        <v>0</v>
      </c>
      <c r="I67" s="21" t="inlineStr"/>
    </row>
    <row r="68" ht="19" customHeight="1">
      <c r="A68" s="26" t="inlineStr">
        <is>
          <t>ETF</t>
        </is>
      </c>
      <c r="B68" s="26" t="inlineStr">
        <is>
          <t>00725B</t>
        </is>
      </c>
      <c r="C68" s="27" t="inlineStr">
        <is>
          <t>國泰投資級公司債</t>
        </is>
      </c>
      <c r="D68" s="26" t="n">
        <v>6</v>
      </c>
      <c r="E68" s="26" t="inlineStr"/>
      <c r="F68" s="27" t="inlineStr">
        <is>
          <t>T-MOBILE USA INC 6.0-2054/06/15</t>
        </is>
      </c>
      <c r="G68" s="27" t="inlineStr">
        <is>
          <t>其他產業</t>
        </is>
      </c>
      <c r="H68" s="31" t="n">
        <v>0</v>
      </c>
      <c r="I68" s="27" t="inlineStr"/>
    </row>
    <row r="69" ht="19" customHeight="1">
      <c r="A69" s="20" t="inlineStr">
        <is>
          <t>ETF</t>
        </is>
      </c>
      <c r="B69" s="20" t="inlineStr">
        <is>
          <t>00725B</t>
        </is>
      </c>
      <c r="C69" s="21" t="inlineStr">
        <is>
          <t>國泰投資級公司債</t>
        </is>
      </c>
      <c r="D69" s="20" t="n">
        <v>7</v>
      </c>
      <c r="E69" s="20" t="inlineStr"/>
      <c r="F69" s="21" t="inlineStr">
        <is>
          <t>ENBRIDGE INC 6.7-2053/11/15</t>
        </is>
      </c>
      <c r="G69" s="21" t="inlineStr">
        <is>
          <t>其他產業</t>
        </is>
      </c>
      <c r="H69" s="25" t="n">
        <v>0</v>
      </c>
      <c r="I69" s="21" t="inlineStr"/>
    </row>
    <row r="70" ht="19" customHeight="1">
      <c r="A70" s="26" t="inlineStr">
        <is>
          <t>ETF</t>
        </is>
      </c>
      <c r="B70" s="26" t="inlineStr">
        <is>
          <t>00725B</t>
        </is>
      </c>
      <c r="C70" s="27" t="inlineStr">
        <is>
          <t>國泰投資級公司債</t>
        </is>
      </c>
      <c r="D70" s="26" t="n">
        <v>8</v>
      </c>
      <c r="E70" s="26" t="inlineStr"/>
      <c r="F70" s="27" t="inlineStr">
        <is>
          <t>CVS HEALTH CORP 6.05-2054/06/01</t>
        </is>
      </c>
      <c r="G70" s="27" t="inlineStr">
        <is>
          <t>其他產業</t>
        </is>
      </c>
      <c r="H70" s="31" t="n">
        <v>0</v>
      </c>
      <c r="I70" s="27" t="inlineStr"/>
    </row>
    <row r="71" ht="19" customHeight="1">
      <c r="A71" s="20" t="inlineStr">
        <is>
          <t>ETF</t>
        </is>
      </c>
      <c r="B71" s="20" t="inlineStr">
        <is>
          <t>00725B</t>
        </is>
      </c>
      <c r="C71" s="21" t="inlineStr">
        <is>
          <t>國泰投資級公司債</t>
        </is>
      </c>
      <c r="D71" s="20" t="n">
        <v>9</v>
      </c>
      <c r="E71" s="20" t="inlineStr"/>
      <c r="F71" s="21" t="inlineStr">
        <is>
          <t>BAT CAPITAL CORP 7.081-2053/08/02</t>
        </is>
      </c>
      <c r="G71" s="21" t="inlineStr">
        <is>
          <t>其他產業</t>
        </is>
      </c>
      <c r="H71" s="25" t="n">
        <v>0</v>
      </c>
      <c r="I71" s="21" t="inlineStr"/>
    </row>
    <row r="72" ht="19" customHeight="1">
      <c r="A72" s="26" t="inlineStr">
        <is>
          <t>ETF</t>
        </is>
      </c>
      <c r="B72" s="26" t="inlineStr">
        <is>
          <t>00725B</t>
        </is>
      </c>
      <c r="C72" s="27" t="inlineStr">
        <is>
          <t>國泰投資級公司債</t>
        </is>
      </c>
      <c r="D72" s="26" t="n">
        <v>10</v>
      </c>
      <c r="E72" s="26" t="inlineStr"/>
      <c r="F72" s="27" t="inlineStr">
        <is>
          <t>CHARTER COMM OPT LLC/CAP 6.484-2045/10/23</t>
        </is>
      </c>
      <c r="G72" s="27" t="inlineStr">
        <is>
          <t>其他產業</t>
        </is>
      </c>
      <c r="H72" s="31" t="n">
        <v>0</v>
      </c>
      <c r="I72" s="27" t="inlineStr"/>
    </row>
    <row r="73" ht="19" customHeight="1">
      <c r="A73" s="20" t="inlineStr">
        <is>
          <t>ETF</t>
        </is>
      </c>
      <c r="B73" s="20" t="inlineStr">
        <is>
          <t>00881</t>
        </is>
      </c>
      <c r="C73" s="21" t="inlineStr">
        <is>
          <t>國泰台灣科技龍頭</t>
        </is>
      </c>
      <c r="D73" s="20" t="n">
        <v>1</v>
      </c>
      <c r="E73" s="20" t="inlineStr">
        <is>
          <t>2330</t>
        </is>
      </c>
      <c r="F73" s="21" t="inlineStr">
        <is>
          <t>台積電</t>
        </is>
      </c>
      <c r="G73" s="21" t="inlineStr">
        <is>
          <t>台積電 (半導體)</t>
        </is>
      </c>
      <c r="H73" s="23" t="n">
        <v>0.3986</v>
      </c>
      <c r="I73" s="21" t="inlineStr">
        <is>
          <t>24,485,000</t>
        </is>
      </c>
    </row>
    <row r="74" ht="19" customHeight="1">
      <c r="A74" s="26" t="inlineStr">
        <is>
          <t>ETF</t>
        </is>
      </c>
      <c r="B74" s="26" t="inlineStr">
        <is>
          <t>00881</t>
        </is>
      </c>
      <c r="C74" s="27" t="inlineStr">
        <is>
          <t>國泰台灣科技龍頭</t>
        </is>
      </c>
      <c r="D74" s="26" t="n">
        <v>2</v>
      </c>
      <c r="E74" s="26" t="inlineStr">
        <is>
          <t>2454</t>
        </is>
      </c>
      <c r="F74" s="27" t="inlineStr">
        <is>
          <t>聯發科</t>
        </is>
      </c>
      <c r="G74" s="27" t="inlineStr">
        <is>
          <t>科技電子</t>
        </is>
      </c>
      <c r="H74" s="29" t="n">
        <v>0.1008</v>
      </c>
      <c r="I74" s="27" t="inlineStr">
        <is>
          <t>3,562,000</t>
        </is>
      </c>
    </row>
    <row r="75" ht="19" customHeight="1">
      <c r="A75" s="20" t="inlineStr">
        <is>
          <t>ETF</t>
        </is>
      </c>
      <c r="B75" s="20" t="inlineStr">
        <is>
          <t>00881</t>
        </is>
      </c>
      <c r="C75" s="21" t="inlineStr">
        <is>
          <t>國泰台灣科技龍頭</t>
        </is>
      </c>
      <c r="D75" s="20" t="n">
        <v>3</v>
      </c>
      <c r="E75" s="20" t="inlineStr">
        <is>
          <t>2308</t>
        </is>
      </c>
      <c r="F75" s="21" t="inlineStr">
        <is>
          <t>台達電</t>
        </is>
      </c>
      <c r="G75" s="21" t="inlineStr">
        <is>
          <t>科技電子</t>
        </is>
      </c>
      <c r="H75" s="23" t="n">
        <v>0.0547</v>
      </c>
      <c r="I75" s="21" t="inlineStr">
        <is>
          <t>4,958,000</t>
        </is>
      </c>
    </row>
    <row r="76" ht="19" customHeight="1">
      <c r="A76" s="26" t="inlineStr">
        <is>
          <t>ETF</t>
        </is>
      </c>
      <c r="B76" s="26" t="inlineStr">
        <is>
          <t>00881</t>
        </is>
      </c>
      <c r="C76" s="27" t="inlineStr">
        <is>
          <t>國泰台灣科技龍頭</t>
        </is>
      </c>
      <c r="D76" s="26" t="n">
        <v>4</v>
      </c>
      <c r="E76" s="26" t="inlineStr">
        <is>
          <t>2317</t>
        </is>
      </c>
      <c r="F76" s="27" t="inlineStr">
        <is>
          <t>鴻海</t>
        </is>
      </c>
      <c r="G76" s="27" t="inlineStr">
        <is>
          <t>科技電子</t>
        </is>
      </c>
      <c r="H76" s="31" t="n">
        <v>0.0461</v>
      </c>
      <c r="I76" s="27" t="inlineStr">
        <is>
          <t>28,627,000</t>
        </is>
      </c>
    </row>
    <row r="77" ht="19" customHeight="1">
      <c r="A77" s="20" t="inlineStr">
        <is>
          <t>ETF</t>
        </is>
      </c>
      <c r="B77" s="20" t="inlineStr">
        <is>
          <t>00881</t>
        </is>
      </c>
      <c r="C77" s="21" t="inlineStr">
        <is>
          <t>國泰台灣科技龍頭</t>
        </is>
      </c>
      <c r="D77" s="20" t="n">
        <v>5</v>
      </c>
      <c r="E77" s="20" t="inlineStr">
        <is>
          <t>3037</t>
        </is>
      </c>
      <c r="F77" s="21" t="inlineStr">
        <is>
          <t>欣興</t>
        </is>
      </c>
      <c r="G77" s="21" t="inlineStr">
        <is>
          <t>科技電子</t>
        </is>
      </c>
      <c r="H77" s="25" t="n">
        <v>0.0292</v>
      </c>
      <c r="I77" s="21" t="inlineStr">
        <is>
          <t>3,872,871</t>
        </is>
      </c>
    </row>
    <row r="78" ht="19" customHeight="1">
      <c r="A78" s="26" t="inlineStr">
        <is>
          <t>ETF</t>
        </is>
      </c>
      <c r="B78" s="26" t="inlineStr">
        <is>
          <t>00881</t>
        </is>
      </c>
      <c r="C78" s="27" t="inlineStr">
        <is>
          <t>國泰台灣科技龍頭</t>
        </is>
      </c>
      <c r="D78" s="26" t="n">
        <v>6</v>
      </c>
      <c r="E78" s="26" t="inlineStr">
        <is>
          <t>2303</t>
        </is>
      </c>
      <c r="F78" s="27" t="inlineStr">
        <is>
          <t>聯電</t>
        </is>
      </c>
      <c r="G78" s="27" t="inlineStr">
        <is>
          <t>科技電子</t>
        </is>
      </c>
      <c r="H78" s="31" t="n">
        <v>0.0265</v>
      </c>
      <c r="I78" s="27" t="inlineStr">
        <is>
          <t>29,935,000</t>
        </is>
      </c>
    </row>
    <row r="79" ht="19" customHeight="1">
      <c r="A79" s="20" t="inlineStr">
        <is>
          <t>ETF</t>
        </is>
      </c>
      <c r="B79" s="20" t="inlineStr">
        <is>
          <t>00881</t>
        </is>
      </c>
      <c r="C79" s="21" t="inlineStr">
        <is>
          <t>國泰台灣科技龍頭</t>
        </is>
      </c>
      <c r="D79" s="20" t="n">
        <v>7</v>
      </c>
      <c r="E79" s="20" t="inlineStr">
        <is>
          <t>2383</t>
        </is>
      </c>
      <c r="F79" s="21" t="inlineStr">
        <is>
          <t>台光電</t>
        </is>
      </c>
      <c r="G79" s="21" t="inlineStr">
        <is>
          <t>科技電子</t>
        </is>
      </c>
      <c r="H79" s="25" t="n">
        <v>0.0265</v>
      </c>
      <c r="I79" s="21" t="inlineStr">
        <is>
          <t>768,000</t>
        </is>
      </c>
    </row>
    <row r="80" ht="19" customHeight="1">
      <c r="A80" s="26" t="inlineStr">
        <is>
          <t>ETF</t>
        </is>
      </c>
      <c r="B80" s="26" t="inlineStr">
        <is>
          <t>00881</t>
        </is>
      </c>
      <c r="C80" s="27" t="inlineStr">
        <is>
          <t>國泰台灣科技龍頭</t>
        </is>
      </c>
      <c r="D80" s="26" t="n">
        <v>8</v>
      </c>
      <c r="E80" s="26" t="inlineStr">
        <is>
          <t>3017</t>
        </is>
      </c>
      <c r="F80" s="27" t="inlineStr">
        <is>
          <t>奇鋐</t>
        </is>
      </c>
      <c r="G80" s="27" t="inlineStr">
        <is>
          <t>科技電子</t>
        </is>
      </c>
      <c r="H80" s="31" t="n">
        <v>0.0232</v>
      </c>
      <c r="I80" s="27" t="inlineStr">
        <is>
          <t>1,040,000</t>
        </is>
      </c>
    </row>
    <row r="81" ht="19" customHeight="1">
      <c r="A81" s="20" t="inlineStr">
        <is>
          <t>ETF</t>
        </is>
      </c>
      <c r="B81" s="20" t="inlineStr">
        <is>
          <t>00881</t>
        </is>
      </c>
      <c r="C81" s="21" t="inlineStr">
        <is>
          <t>國泰台灣科技龍頭</t>
        </is>
      </c>
      <c r="D81" s="20" t="n">
        <v>9</v>
      </c>
      <c r="E81" s="20" t="inlineStr">
        <is>
          <t>2345</t>
        </is>
      </c>
      <c r="F81" s="21" t="inlineStr">
        <is>
          <t>智邦</t>
        </is>
      </c>
      <c r="G81" s="21" t="inlineStr">
        <is>
          <t>科技電子</t>
        </is>
      </c>
      <c r="H81" s="25" t="n">
        <v>0.0224</v>
      </c>
      <c r="I81" s="21" t="inlineStr">
        <is>
          <t>1,663,000</t>
        </is>
      </c>
    </row>
    <row r="82" ht="19" customHeight="1">
      <c r="A82" s="26" t="inlineStr">
        <is>
          <t>ETF</t>
        </is>
      </c>
      <c r="B82" s="26" t="inlineStr">
        <is>
          <t>00881</t>
        </is>
      </c>
      <c r="C82" s="27" t="inlineStr">
        <is>
          <t>國泰台灣科技龍頭</t>
        </is>
      </c>
      <c r="D82" s="26" t="n">
        <v>10</v>
      </c>
      <c r="E82" s="26" t="inlineStr">
        <is>
          <t>2059</t>
        </is>
      </c>
      <c r="F82" s="27" t="inlineStr">
        <is>
          <t>川湖</t>
        </is>
      </c>
      <c r="G82" s="27" t="inlineStr">
        <is>
          <t>傳統產業</t>
        </is>
      </c>
      <c r="H82" s="31" t="n">
        <v>0.021</v>
      </c>
      <c r="I82" s="27" t="inlineStr">
        <is>
          <t>315,000</t>
        </is>
      </c>
    </row>
    <row r="83" ht="19" customHeight="1">
      <c r="A83" s="20" t="inlineStr">
        <is>
          <t>ETF</t>
        </is>
      </c>
      <c r="B83" s="20" t="inlineStr">
        <is>
          <t>00922</t>
        </is>
      </c>
      <c r="C83" s="21" t="inlineStr">
        <is>
          <t>國泰台灣領袖50</t>
        </is>
      </c>
      <c r="D83" s="20" t="n">
        <v>1</v>
      </c>
      <c r="E83" s="20" t="inlineStr">
        <is>
          <t>2330</t>
        </is>
      </c>
      <c r="F83" s="21" t="inlineStr">
        <is>
          <t>台積電</t>
        </is>
      </c>
      <c r="G83" s="21" t="inlineStr">
        <is>
          <t>台積電 (半導體)</t>
        </is>
      </c>
      <c r="H83" s="23" t="n">
        <v>0.3937</v>
      </c>
      <c r="I83" s="21" t="inlineStr">
        <is>
          <t>14,811,446</t>
        </is>
      </c>
    </row>
    <row r="84" ht="19" customHeight="1">
      <c r="A84" s="26" t="inlineStr">
        <is>
          <t>ETF</t>
        </is>
      </c>
      <c r="B84" s="26" t="inlineStr">
        <is>
          <t>00922</t>
        </is>
      </c>
      <c r="C84" s="27" t="inlineStr">
        <is>
          <t>國泰台灣領袖50</t>
        </is>
      </c>
      <c r="D84" s="26" t="n">
        <v>2</v>
      </c>
      <c r="E84" s="26" t="inlineStr">
        <is>
          <t>2454</t>
        </is>
      </c>
      <c r="F84" s="27" t="inlineStr">
        <is>
          <t>聯發科</t>
        </is>
      </c>
      <c r="G84" s="27" t="inlineStr">
        <is>
          <t>科技電子</t>
        </is>
      </c>
      <c r="H84" s="29" t="n">
        <v>0.0664</v>
      </c>
      <c r="I84" s="27" t="inlineStr">
        <is>
          <t>1,438,711</t>
        </is>
      </c>
    </row>
    <row r="85" ht="19" customHeight="1">
      <c r="A85" s="20" t="inlineStr">
        <is>
          <t>ETF</t>
        </is>
      </c>
      <c r="B85" s="20" t="inlineStr">
        <is>
          <t>00922</t>
        </is>
      </c>
      <c r="C85" s="21" t="inlineStr">
        <is>
          <t>國泰台灣領袖50</t>
        </is>
      </c>
      <c r="D85" s="20" t="n">
        <v>3</v>
      </c>
      <c r="E85" s="20" t="inlineStr">
        <is>
          <t>2308</t>
        </is>
      </c>
      <c r="F85" s="21" t="inlineStr">
        <is>
          <t>台達電</t>
        </is>
      </c>
      <c r="G85" s="21" t="inlineStr">
        <is>
          <t>科技電子</t>
        </is>
      </c>
      <c r="H85" s="25" t="n">
        <v>0.038</v>
      </c>
      <c r="I85" s="21" t="inlineStr">
        <is>
          <t>2,110,739</t>
        </is>
      </c>
    </row>
    <row r="86" ht="19" customHeight="1">
      <c r="A86" s="26" t="inlineStr">
        <is>
          <t>ETF</t>
        </is>
      </c>
      <c r="B86" s="26" t="inlineStr">
        <is>
          <t>00922</t>
        </is>
      </c>
      <c r="C86" s="27" t="inlineStr">
        <is>
          <t>國泰台灣領袖50</t>
        </is>
      </c>
      <c r="D86" s="26" t="n">
        <v>4</v>
      </c>
      <c r="E86" s="26" t="inlineStr">
        <is>
          <t>2317</t>
        </is>
      </c>
      <c r="F86" s="27" t="inlineStr">
        <is>
          <t>鴻海</t>
        </is>
      </c>
      <c r="G86" s="27" t="inlineStr">
        <is>
          <t>科技電子</t>
        </is>
      </c>
      <c r="H86" s="31" t="n">
        <v>0.0325</v>
      </c>
      <c r="I86" s="27" t="inlineStr">
        <is>
          <t>12,360,359</t>
        </is>
      </c>
    </row>
    <row r="87" ht="19" customHeight="1">
      <c r="A87" s="20" t="inlineStr">
        <is>
          <t>ETF</t>
        </is>
      </c>
      <c r="B87" s="20" t="inlineStr">
        <is>
          <t>00922</t>
        </is>
      </c>
      <c r="C87" s="21" t="inlineStr">
        <is>
          <t>國泰台灣領袖50</t>
        </is>
      </c>
      <c r="D87" s="20" t="n">
        <v>5</v>
      </c>
      <c r="E87" s="20" t="inlineStr">
        <is>
          <t>3711</t>
        </is>
      </c>
      <c r="F87" s="21" t="inlineStr">
        <is>
          <t>日月光投控</t>
        </is>
      </c>
      <c r="G87" s="21" t="inlineStr">
        <is>
          <t>科技電子</t>
        </is>
      </c>
      <c r="H87" s="25" t="n">
        <v>0.0299</v>
      </c>
      <c r="I87" s="21" t="inlineStr">
        <is>
          <t>4,059,924</t>
        </is>
      </c>
    </row>
    <row r="88" ht="19" customHeight="1">
      <c r="A88" s="26" t="inlineStr">
        <is>
          <t>ETF</t>
        </is>
      </c>
      <c r="B88" s="26" t="inlineStr">
        <is>
          <t>00922</t>
        </is>
      </c>
      <c r="C88" s="27" t="inlineStr">
        <is>
          <t>國泰台灣領袖50</t>
        </is>
      </c>
      <c r="D88" s="26" t="n">
        <v>6</v>
      </c>
      <c r="E88" s="26" t="inlineStr">
        <is>
          <t>2383</t>
        </is>
      </c>
      <c r="F88" s="27" t="inlineStr">
        <is>
          <t>台光電</t>
        </is>
      </c>
      <c r="G88" s="27" t="inlineStr">
        <is>
          <t>科技電子</t>
        </is>
      </c>
      <c r="H88" s="31" t="n">
        <v>0.0213</v>
      </c>
      <c r="I88" s="27" t="inlineStr">
        <is>
          <t>378,359</t>
        </is>
      </c>
    </row>
    <row r="89" ht="19" customHeight="1">
      <c r="A89" s="20" t="inlineStr">
        <is>
          <t>ETF</t>
        </is>
      </c>
      <c r="B89" s="20" t="inlineStr">
        <is>
          <t>00922</t>
        </is>
      </c>
      <c r="C89" s="21" t="inlineStr">
        <is>
          <t>國泰台灣領袖50</t>
        </is>
      </c>
      <c r="D89" s="20" t="n">
        <v>7</v>
      </c>
      <c r="E89" s="20" t="inlineStr">
        <is>
          <t>2303</t>
        </is>
      </c>
      <c r="F89" s="21" t="inlineStr">
        <is>
          <t>聯電</t>
        </is>
      </c>
      <c r="G89" s="21" t="inlineStr">
        <is>
          <t>科技電子</t>
        </is>
      </c>
      <c r="H89" s="25" t="n">
        <v>0.0208</v>
      </c>
      <c r="I89" s="21" t="inlineStr">
        <is>
          <t>14,404,513</t>
        </is>
      </c>
    </row>
    <row r="90" ht="19" customHeight="1">
      <c r="A90" s="26" t="inlineStr">
        <is>
          <t>ETF</t>
        </is>
      </c>
      <c r="B90" s="26" t="inlineStr">
        <is>
          <t>00922</t>
        </is>
      </c>
      <c r="C90" s="27" t="inlineStr">
        <is>
          <t>國泰台灣領袖50</t>
        </is>
      </c>
      <c r="D90" s="26" t="n">
        <v>8</v>
      </c>
      <c r="E90" s="26" t="inlineStr">
        <is>
          <t>2881</t>
        </is>
      </c>
      <c r="F90" s="27" t="inlineStr">
        <is>
          <t>富邦金</t>
        </is>
      </c>
      <c r="G90" s="27" t="inlineStr">
        <is>
          <t>金融保險</t>
        </is>
      </c>
      <c r="H90" s="31" t="n">
        <v>0.0184</v>
      </c>
      <c r="I90" s="27" t="inlineStr">
        <is>
          <t>10,595,170</t>
        </is>
      </c>
    </row>
    <row r="91" ht="19" customHeight="1">
      <c r="A91" s="20" t="inlineStr">
        <is>
          <t>ETF</t>
        </is>
      </c>
      <c r="B91" s="20" t="inlineStr">
        <is>
          <t>00922</t>
        </is>
      </c>
      <c r="C91" s="21" t="inlineStr">
        <is>
          <t>國泰台灣領袖50</t>
        </is>
      </c>
      <c r="D91" s="20" t="n">
        <v>9</v>
      </c>
      <c r="E91" s="20" t="inlineStr">
        <is>
          <t>1303</t>
        </is>
      </c>
      <c r="F91" s="21" t="inlineStr">
        <is>
          <t>南亞</t>
        </is>
      </c>
      <c r="G91" s="21" t="inlineStr">
        <is>
          <t>傳統產業</t>
        </is>
      </c>
      <c r="H91" s="25" t="n">
        <v>0.0176</v>
      </c>
      <c r="I91" s="21" t="inlineStr">
        <is>
          <t>5,265,178</t>
        </is>
      </c>
    </row>
    <row r="92" ht="19" customHeight="1">
      <c r="A92" s="26" t="inlineStr">
        <is>
          <t>ETF</t>
        </is>
      </c>
      <c r="B92" s="26" t="inlineStr">
        <is>
          <t>00922</t>
        </is>
      </c>
      <c r="C92" s="27" t="inlineStr">
        <is>
          <t>國泰台灣領袖50</t>
        </is>
      </c>
      <c r="D92" s="26" t="n">
        <v>10</v>
      </c>
      <c r="E92" s="26" t="inlineStr">
        <is>
          <t>3017</t>
        </is>
      </c>
      <c r="F92" s="27" t="inlineStr">
        <is>
          <t>奇鋐</t>
        </is>
      </c>
      <c r="G92" s="27" t="inlineStr">
        <is>
          <t>科技電子</t>
        </is>
      </c>
      <c r="H92" s="31" t="n">
        <v>0.017</v>
      </c>
      <c r="I92" s="27" t="inlineStr">
        <is>
          <t>465,334</t>
        </is>
      </c>
    </row>
    <row r="93" ht="19" customHeight="1">
      <c r="A93" s="20" t="inlineStr">
        <is>
          <t>ETF</t>
        </is>
      </c>
      <c r="B93" s="20" t="inlineStr">
        <is>
          <t>00916</t>
        </is>
      </c>
      <c r="C93" s="21" t="inlineStr">
        <is>
          <t>國泰全球品牌50</t>
        </is>
      </c>
      <c r="D93" s="20" t="n">
        <v>1</v>
      </c>
      <c r="E93" s="20" t="inlineStr">
        <is>
          <t>AAPL.US</t>
        </is>
      </c>
      <c r="F93" s="21" t="inlineStr">
        <is>
          <t>Apple Inc.</t>
        </is>
      </c>
      <c r="G93" s="21" t="inlineStr">
        <is>
          <t>海外/全球股票</t>
        </is>
      </c>
      <c r="H93" s="23" t="n">
        <v>0.1736</v>
      </c>
      <c r="I93" s="21" t="inlineStr">
        <is>
          <t>39,519</t>
        </is>
      </c>
    </row>
    <row r="94" ht="19" customHeight="1">
      <c r="A94" s="26" t="inlineStr">
        <is>
          <t>ETF</t>
        </is>
      </c>
      <c r="B94" s="26" t="inlineStr">
        <is>
          <t>00916</t>
        </is>
      </c>
      <c r="C94" s="27" t="inlineStr">
        <is>
          <t>國泰全球品牌50</t>
        </is>
      </c>
      <c r="D94" s="26" t="n">
        <v>2</v>
      </c>
      <c r="E94" s="26" t="inlineStr">
        <is>
          <t>MSFT.US</t>
        </is>
      </c>
      <c r="F94" s="27" t="inlineStr">
        <is>
          <t>Microsoft Corp</t>
        </is>
      </c>
      <c r="G94" s="27" t="inlineStr">
        <is>
          <t>海外/全球股票</t>
        </is>
      </c>
      <c r="H94" s="29" t="n">
        <v>0.142</v>
      </c>
      <c r="I94" s="27" t="inlineStr">
        <is>
          <t>20,785</t>
        </is>
      </c>
    </row>
    <row r="95" ht="19" customHeight="1">
      <c r="A95" s="20" t="inlineStr">
        <is>
          <t>ETF</t>
        </is>
      </c>
      <c r="B95" s="20" t="inlineStr">
        <is>
          <t>00916</t>
        </is>
      </c>
      <c r="C95" s="21" t="inlineStr">
        <is>
          <t>國泰全球品牌50</t>
        </is>
      </c>
      <c r="D95" s="20" t="n">
        <v>3</v>
      </c>
      <c r="E95" s="20" t="inlineStr">
        <is>
          <t>AMZN.US</t>
        </is>
      </c>
      <c r="F95" s="21" t="inlineStr">
        <is>
          <t>AMAZON.COM INC</t>
        </is>
      </c>
      <c r="G95" s="21" t="inlineStr">
        <is>
          <t>海外/全球股票</t>
        </is>
      </c>
      <c r="H95" s="23" t="n">
        <v>0.0931</v>
      </c>
      <c r="I95" s="21" t="inlineStr">
        <is>
          <t>27,688</t>
        </is>
      </c>
    </row>
    <row r="96" ht="19" customHeight="1">
      <c r="A96" s="26" t="inlineStr">
        <is>
          <t>ETF</t>
        </is>
      </c>
      <c r="B96" s="26" t="inlineStr">
        <is>
          <t>00916</t>
        </is>
      </c>
      <c r="C96" s="27" t="inlineStr">
        <is>
          <t>國泰全球品牌50</t>
        </is>
      </c>
      <c r="D96" s="26" t="n">
        <v>4</v>
      </c>
      <c r="E96" s="26" t="inlineStr">
        <is>
          <t>GOOGL.US</t>
        </is>
      </c>
      <c r="F96" s="27" t="inlineStr">
        <is>
          <t>ALPHABET CL A CMN</t>
        </is>
      </c>
      <c r="G96" s="27" t="inlineStr">
        <is>
          <t>海外/全球股票</t>
        </is>
      </c>
      <c r="H96" s="29" t="n">
        <v>0.0728</v>
      </c>
      <c r="I96" s="27" t="inlineStr">
        <is>
          <t>16,513</t>
        </is>
      </c>
    </row>
    <row r="97" ht="19" customHeight="1">
      <c r="A97" s="20" t="inlineStr">
        <is>
          <t>ETF</t>
        </is>
      </c>
      <c r="B97" s="20" t="inlineStr">
        <is>
          <t>00916</t>
        </is>
      </c>
      <c r="C97" s="21" t="inlineStr">
        <is>
          <t>國泰全球品牌50</t>
        </is>
      </c>
      <c r="D97" s="20" t="n">
        <v>5</v>
      </c>
      <c r="E97" s="20" t="inlineStr">
        <is>
          <t>META.US</t>
        </is>
      </c>
      <c r="F97" s="21" t="inlineStr">
        <is>
          <t>Meta平台公司</t>
        </is>
      </c>
      <c r="G97" s="21" t="inlineStr">
        <is>
          <t>海外/全球股票</t>
        </is>
      </c>
      <c r="H97" s="23" t="n">
        <v>0.0562</v>
      </c>
      <c r="I97" s="21" t="inlineStr">
        <is>
          <t>6,217</t>
        </is>
      </c>
    </row>
    <row r="98" ht="19" customHeight="1">
      <c r="A98" s="26" t="inlineStr">
        <is>
          <t>ETF</t>
        </is>
      </c>
      <c r="B98" s="26" t="inlineStr">
        <is>
          <t>00916</t>
        </is>
      </c>
      <c r="C98" s="27" t="inlineStr">
        <is>
          <t>國泰全球品牌50</t>
        </is>
      </c>
      <c r="D98" s="26" t="n">
        <v>6</v>
      </c>
      <c r="E98" s="26" t="inlineStr">
        <is>
          <t>TSLA.US</t>
        </is>
      </c>
      <c r="F98" s="27" t="inlineStr">
        <is>
          <t>TESLA, INC.</t>
        </is>
      </c>
      <c r="G98" s="27" t="inlineStr">
        <is>
          <t>海外/全球股票</t>
        </is>
      </c>
      <c r="H98" s="31" t="n">
        <v>0.0378</v>
      </c>
      <c r="I98" s="27" t="inlineStr">
        <is>
          <t>8,014</t>
        </is>
      </c>
    </row>
    <row r="99" ht="19" customHeight="1">
      <c r="A99" s="20" t="inlineStr">
        <is>
          <t>ETF</t>
        </is>
      </c>
      <c r="B99" s="20" t="inlineStr">
        <is>
          <t>00916</t>
        </is>
      </c>
      <c r="C99" s="21" t="inlineStr">
        <is>
          <t>國泰全球品牌50</t>
        </is>
      </c>
      <c r="D99" s="20" t="n">
        <v>7</v>
      </c>
      <c r="E99" s="20" t="inlineStr">
        <is>
          <t>JPM.US</t>
        </is>
      </c>
      <c r="F99" s="21" t="inlineStr">
        <is>
          <t>JP Morgan Chase &amp; Co</t>
        </is>
      </c>
      <c r="G99" s="21" t="inlineStr">
        <is>
          <t>海外/全球股票</t>
        </is>
      </c>
      <c r="H99" s="25" t="n">
        <v>0.0326</v>
      </c>
      <c r="I99" s="21" t="inlineStr">
        <is>
          <t>7,641</t>
        </is>
      </c>
    </row>
    <row r="100" ht="19" customHeight="1">
      <c r="A100" s="26" t="inlineStr">
        <is>
          <t>ETF</t>
        </is>
      </c>
      <c r="B100" s="26" t="inlineStr">
        <is>
          <t>00916</t>
        </is>
      </c>
      <c r="C100" s="27" t="inlineStr">
        <is>
          <t>國泰全球品牌50</t>
        </is>
      </c>
      <c r="D100" s="26" t="n">
        <v>8</v>
      </c>
      <c r="E100" s="26" t="inlineStr">
        <is>
          <t>005930.KS</t>
        </is>
      </c>
      <c r="F100" s="27" t="inlineStr">
        <is>
          <t>Samsung Electron Rg</t>
        </is>
      </c>
      <c r="G100" s="27" t="inlineStr">
        <is>
          <t>其他產業</t>
        </is>
      </c>
      <c r="H100" s="31" t="n">
        <v>0.0302</v>
      </c>
      <c r="I100" s="27" t="inlineStr">
        <is>
          <t>14,408</t>
        </is>
      </c>
    </row>
    <row r="101" ht="19" customHeight="1">
      <c r="A101" s="20" t="inlineStr">
        <is>
          <t>ETF</t>
        </is>
      </c>
      <c r="B101" s="20" t="inlineStr">
        <is>
          <t>00916</t>
        </is>
      </c>
      <c r="C101" s="21" t="inlineStr">
        <is>
          <t>國泰全球品牌50</t>
        </is>
      </c>
      <c r="D101" s="20" t="n">
        <v>9</v>
      </c>
      <c r="E101" s="20" t="inlineStr">
        <is>
          <t>V.US</t>
        </is>
      </c>
      <c r="F101" s="21" t="inlineStr">
        <is>
          <t>Visa Inc A</t>
        </is>
      </c>
      <c r="G101" s="21" t="inlineStr">
        <is>
          <t>海外/全球股票</t>
        </is>
      </c>
      <c r="H101" s="25" t="n">
        <v>0.0246</v>
      </c>
      <c r="I101" s="21" t="inlineStr">
        <is>
          <t>4,774</t>
        </is>
      </c>
    </row>
    <row r="102" ht="19" customHeight="1">
      <c r="A102" s="26" t="inlineStr">
        <is>
          <t>ETF</t>
        </is>
      </c>
      <c r="B102" s="26" t="inlineStr">
        <is>
          <t>00916</t>
        </is>
      </c>
      <c r="C102" s="27" t="inlineStr">
        <is>
          <t>國泰全球品牌50</t>
        </is>
      </c>
      <c r="D102" s="26" t="n">
        <v>10</v>
      </c>
      <c r="E102" s="26" t="inlineStr">
        <is>
          <t>WMT.US</t>
        </is>
      </c>
      <c r="F102" s="27" t="inlineStr">
        <is>
          <t>Wal-Mart Stores</t>
        </is>
      </c>
      <c r="G102" s="27" t="inlineStr">
        <is>
          <t>海外/全球股票</t>
        </is>
      </c>
      <c r="H102" s="31" t="n">
        <v>0.0189</v>
      </c>
      <c r="I102" s="27" t="inlineStr">
        <is>
          <t>12,451</t>
        </is>
      </c>
    </row>
    <row r="103" ht="19" customHeight="1">
      <c r="A103" s="20" t="inlineStr">
        <is>
          <t>ETF</t>
        </is>
      </c>
      <c r="B103" s="20" t="inlineStr">
        <is>
          <t>00636</t>
        </is>
      </c>
      <c r="C103" s="21" t="inlineStr">
        <is>
          <t>國泰中國A50</t>
        </is>
      </c>
      <c r="D103" s="20" t="n">
        <v>1</v>
      </c>
      <c r="E103" s="20" t="inlineStr">
        <is>
          <t>600519.CH</t>
        </is>
      </c>
      <c r="F103" s="21" t="inlineStr">
        <is>
          <t>貴州茅台</t>
        </is>
      </c>
      <c r="G103" s="21" t="inlineStr">
        <is>
          <t>海外/全球股票</t>
        </is>
      </c>
      <c r="H103" s="23" t="n">
        <v>0.08740000000000001</v>
      </c>
      <c r="I103" s="21" t="inlineStr">
        <is>
          <t>33,119</t>
        </is>
      </c>
    </row>
    <row r="104" ht="19" customHeight="1">
      <c r="A104" s="26" t="inlineStr">
        <is>
          <t>ETF</t>
        </is>
      </c>
      <c r="B104" s="26" t="inlineStr">
        <is>
          <t>00636</t>
        </is>
      </c>
      <c r="C104" s="27" t="inlineStr">
        <is>
          <t>國泰中國A50</t>
        </is>
      </c>
      <c r="D104" s="26" t="n">
        <v>2</v>
      </c>
      <c r="E104" s="26" t="inlineStr">
        <is>
          <t>300750.CH</t>
        </is>
      </c>
      <c r="F104" s="27" t="inlineStr">
        <is>
          <t>寧德時代</t>
        </is>
      </c>
      <c r="G104" s="27" t="inlineStr">
        <is>
          <t>海外/全球股票</t>
        </is>
      </c>
      <c r="H104" s="29" t="n">
        <v>0.0641</v>
      </c>
      <c r="I104" s="27" t="inlineStr">
        <is>
          <t>116,540</t>
        </is>
      </c>
    </row>
    <row r="105" ht="19" customHeight="1">
      <c r="A105" s="20" t="inlineStr">
        <is>
          <t>ETF</t>
        </is>
      </c>
      <c r="B105" s="20" t="inlineStr">
        <is>
          <t>00636</t>
        </is>
      </c>
      <c r="C105" s="21" t="inlineStr">
        <is>
          <t>國泰中國A50</t>
        </is>
      </c>
      <c r="D105" s="20" t="n">
        <v>3</v>
      </c>
      <c r="E105" s="20" t="inlineStr">
        <is>
          <t>600036.CH</t>
        </is>
      </c>
      <c r="F105" s="21" t="inlineStr">
        <is>
          <t>招商銀行</t>
        </is>
      </c>
      <c r="G105" s="21" t="inlineStr">
        <is>
          <t>海外/全球股票</t>
        </is>
      </c>
      <c r="H105" s="25" t="n">
        <v>0.046</v>
      </c>
      <c r="I105" s="21" t="inlineStr">
        <is>
          <t>545,156</t>
        </is>
      </c>
    </row>
    <row r="106" ht="19" customHeight="1">
      <c r="A106" s="26" t="inlineStr">
        <is>
          <t>ETF</t>
        </is>
      </c>
      <c r="B106" s="26" t="inlineStr">
        <is>
          <t>00636</t>
        </is>
      </c>
      <c r="C106" s="27" t="inlineStr">
        <is>
          <t>國泰中國A50</t>
        </is>
      </c>
      <c r="D106" s="26" t="n">
        <v>4</v>
      </c>
      <c r="E106" s="26" t="inlineStr">
        <is>
          <t>300308.CH</t>
        </is>
      </c>
      <c r="F106" s="27" t="inlineStr">
        <is>
          <t>Zhongji Innolight (A) (SC SZ)</t>
        </is>
      </c>
      <c r="G106" s="27" t="inlineStr">
        <is>
          <t>海外/全球股票</t>
        </is>
      </c>
      <c r="H106" s="31" t="n">
        <v>0.0391</v>
      </c>
      <c r="I106" s="27" t="inlineStr">
        <is>
          <t>29,400</t>
        </is>
      </c>
    </row>
    <row r="107" ht="19" customHeight="1">
      <c r="A107" s="20" t="inlineStr">
        <is>
          <t>ETF</t>
        </is>
      </c>
      <c r="B107" s="20" t="inlineStr">
        <is>
          <t>00636</t>
        </is>
      </c>
      <c r="C107" s="21" t="inlineStr">
        <is>
          <t>國泰中國A50</t>
        </is>
      </c>
      <c r="D107" s="20" t="n">
        <v>5</v>
      </c>
      <c r="E107" s="20" t="inlineStr">
        <is>
          <t>600900.CH</t>
        </is>
      </c>
      <c r="F107" s="21" t="inlineStr">
        <is>
          <t>長江電力</t>
        </is>
      </c>
      <c r="G107" s="21" t="inlineStr">
        <is>
          <t>海外/全球股票</t>
        </is>
      </c>
      <c r="H107" s="25" t="n">
        <v>0.0377</v>
      </c>
      <c r="I107" s="21" t="inlineStr">
        <is>
          <t>646,629</t>
        </is>
      </c>
    </row>
    <row r="108" ht="19" customHeight="1">
      <c r="A108" s="26" t="inlineStr">
        <is>
          <t>ETF</t>
        </is>
      </c>
      <c r="B108" s="26" t="inlineStr">
        <is>
          <t>00636</t>
        </is>
      </c>
      <c r="C108" s="27" t="inlineStr">
        <is>
          <t>國泰中國A50</t>
        </is>
      </c>
      <c r="D108" s="26" t="n">
        <v>6</v>
      </c>
      <c r="E108" s="26" t="inlineStr">
        <is>
          <t>601398.CH</t>
        </is>
      </c>
      <c r="F108" s="27" t="inlineStr">
        <is>
          <t>工商銀行</t>
        </is>
      </c>
      <c r="G108" s="27" t="inlineStr">
        <is>
          <t>海外/全球股票</t>
        </is>
      </c>
      <c r="H108" s="31" t="n">
        <v>0.0338</v>
      </c>
      <c r="I108" s="27" t="inlineStr">
        <is>
          <t>2,008,327</t>
        </is>
      </c>
    </row>
    <row r="109" ht="19" customHeight="1">
      <c r="A109" s="20" t="inlineStr">
        <is>
          <t>ETF</t>
        </is>
      </c>
      <c r="B109" s="20" t="inlineStr">
        <is>
          <t>00636</t>
        </is>
      </c>
      <c r="C109" s="21" t="inlineStr">
        <is>
          <t>國泰中國A50</t>
        </is>
      </c>
      <c r="D109" s="20" t="n">
        <v>7</v>
      </c>
      <c r="E109" s="20" t="inlineStr">
        <is>
          <t>601288.CH</t>
        </is>
      </c>
      <c r="F109" s="21" t="inlineStr">
        <is>
          <t>農業銀行</t>
        </is>
      </c>
      <c r="G109" s="21" t="inlineStr">
        <is>
          <t>海外/全球股票</t>
        </is>
      </c>
      <c r="H109" s="25" t="n">
        <v>0.0337</v>
      </c>
      <c r="I109" s="21" t="inlineStr">
        <is>
          <t>2,344,800</t>
        </is>
      </c>
    </row>
    <row r="110" ht="19" customHeight="1">
      <c r="A110" s="26" t="inlineStr">
        <is>
          <t>ETF</t>
        </is>
      </c>
      <c r="B110" s="26" t="inlineStr">
        <is>
          <t>00636</t>
        </is>
      </c>
      <c r="C110" s="27" t="inlineStr">
        <is>
          <t>國泰中國A50</t>
        </is>
      </c>
      <c r="D110" s="26" t="n">
        <v>8</v>
      </c>
      <c r="E110" s="26" t="inlineStr">
        <is>
          <t>601899.CH</t>
        </is>
      </c>
      <c r="F110" s="27" t="inlineStr">
        <is>
          <t>紫金礦業</t>
        </is>
      </c>
      <c r="G110" s="27" t="inlineStr">
        <is>
          <t>海外/全球股票</t>
        </is>
      </c>
      <c r="H110" s="31" t="n">
        <v>0.03240000000000001</v>
      </c>
      <c r="I110" s="27" t="inlineStr">
        <is>
          <t>544,469</t>
        </is>
      </c>
    </row>
    <row r="111" ht="19" customHeight="1">
      <c r="A111" s="20" t="inlineStr">
        <is>
          <t>ETF</t>
        </is>
      </c>
      <c r="B111" s="20" t="inlineStr">
        <is>
          <t>00636</t>
        </is>
      </c>
      <c r="C111" s="21" t="inlineStr">
        <is>
          <t>國泰中國A50</t>
        </is>
      </c>
      <c r="D111" s="20" t="n">
        <v>9</v>
      </c>
      <c r="E111" s="20" t="inlineStr">
        <is>
          <t>688256.CH</t>
        </is>
      </c>
      <c r="F111" s="21" t="inlineStr">
        <is>
          <t>Cambricon Technologies (A) (SC SH)</t>
        </is>
      </c>
      <c r="G111" s="21" t="inlineStr">
        <is>
          <t>海外/全球股票</t>
        </is>
      </c>
      <c r="H111" s="25" t="n">
        <v>0.0301</v>
      </c>
      <c r="I111" s="21" t="inlineStr">
        <is>
          <t>16,564</t>
        </is>
      </c>
    </row>
    <row r="112" ht="19" customHeight="1">
      <c r="A112" s="26" t="inlineStr">
        <is>
          <t>ETF</t>
        </is>
      </c>
      <c r="B112" s="26" t="inlineStr">
        <is>
          <t>00636</t>
        </is>
      </c>
      <c r="C112" s="27" t="inlineStr">
        <is>
          <t>國泰中國A50</t>
        </is>
      </c>
      <c r="D112" s="26" t="n">
        <v>10</v>
      </c>
      <c r="E112" s="26" t="inlineStr">
        <is>
          <t>601318.CH</t>
        </is>
      </c>
      <c r="F112" s="27" t="inlineStr">
        <is>
          <t>中國平安</t>
        </is>
      </c>
      <c r="G112" s="27" t="inlineStr">
        <is>
          <t>海外/全球股票</t>
        </is>
      </c>
      <c r="H112" s="31" t="n">
        <v>0.029</v>
      </c>
      <c r="I112" s="27" t="inlineStr">
        <is>
          <t>281,709</t>
        </is>
      </c>
    </row>
    <row r="113" ht="19" customHeight="1">
      <c r="A113" s="20" t="inlineStr">
        <is>
          <t>ETF</t>
        </is>
      </c>
      <c r="B113" s="20" t="inlineStr">
        <is>
          <t>00735</t>
        </is>
      </c>
      <c r="C113" s="21" t="inlineStr">
        <is>
          <t>國泰臺韓科技</t>
        </is>
      </c>
      <c r="D113" s="20" t="n">
        <v>1</v>
      </c>
      <c r="E113" s="20" t="inlineStr">
        <is>
          <t>2330</t>
        </is>
      </c>
      <c r="F113" s="21" t="inlineStr">
        <is>
          <t>台積電</t>
        </is>
      </c>
      <c r="G113" s="21" t="inlineStr">
        <is>
          <t>台積電 (半導體)</t>
        </is>
      </c>
      <c r="H113" s="23" t="n">
        <v>0.2261</v>
      </c>
      <c r="I113" s="21" t="inlineStr">
        <is>
          <t>980,800</t>
        </is>
      </c>
    </row>
    <row r="114" ht="19" customHeight="1">
      <c r="A114" s="26" t="inlineStr">
        <is>
          <t>ETF</t>
        </is>
      </c>
      <c r="B114" s="26" t="inlineStr">
        <is>
          <t>00735</t>
        </is>
      </c>
      <c r="C114" s="27" t="inlineStr">
        <is>
          <t>國泰臺韓科技</t>
        </is>
      </c>
      <c r="D114" s="26" t="n">
        <v>2</v>
      </c>
      <c r="E114" s="26" t="inlineStr">
        <is>
          <t>005930.KS</t>
        </is>
      </c>
      <c r="F114" s="27" t="inlineStr">
        <is>
          <t>Samsung Electron Rg</t>
        </is>
      </c>
      <c r="G114" s="27" t="inlineStr">
        <is>
          <t>其他產業</t>
        </is>
      </c>
      <c r="H114" s="29" t="n">
        <v>0.1503</v>
      </c>
      <c r="I114" s="27" t="inlineStr">
        <is>
          <t>296,142</t>
        </is>
      </c>
    </row>
    <row r="115" ht="19" customHeight="1">
      <c r="A115" s="20" t="inlineStr">
        <is>
          <t>ETF</t>
        </is>
      </c>
      <c r="B115" s="20" t="inlineStr">
        <is>
          <t>00735</t>
        </is>
      </c>
      <c r="C115" s="21" t="inlineStr">
        <is>
          <t>國泰臺韓科技</t>
        </is>
      </c>
      <c r="D115" s="20" t="n">
        <v>3</v>
      </c>
      <c r="E115" s="20" t="inlineStr">
        <is>
          <t>000660.KS</t>
        </is>
      </c>
      <c r="F115" s="21" t="inlineStr">
        <is>
          <t>SK Hynix Inc</t>
        </is>
      </c>
      <c r="G115" s="21" t="inlineStr">
        <is>
          <t>其他產業</t>
        </is>
      </c>
      <c r="H115" s="23" t="n">
        <v>0.1128</v>
      </c>
      <c r="I115" s="21" t="inlineStr">
        <is>
          <t>37,952</t>
        </is>
      </c>
    </row>
    <row r="116" ht="19" customHeight="1">
      <c r="A116" s="26" t="inlineStr">
        <is>
          <t>ETF</t>
        </is>
      </c>
      <c r="B116" s="26" t="inlineStr">
        <is>
          <t>00735</t>
        </is>
      </c>
      <c r="C116" s="27" t="inlineStr">
        <is>
          <t>國泰臺韓科技</t>
        </is>
      </c>
      <c r="D116" s="26" t="n">
        <v>4</v>
      </c>
      <c r="E116" s="26" t="inlineStr">
        <is>
          <t>2454</t>
        </is>
      </c>
      <c r="F116" s="27" t="inlineStr">
        <is>
          <t>聯發科</t>
        </is>
      </c>
      <c r="G116" s="27" t="inlineStr">
        <is>
          <t>科技電子</t>
        </is>
      </c>
      <c r="H116" s="31" t="n">
        <v>0.0417</v>
      </c>
      <c r="I116" s="27" t="inlineStr">
        <is>
          <t>104,000</t>
        </is>
      </c>
    </row>
    <row r="117" ht="19" customHeight="1">
      <c r="A117" s="20" t="inlineStr">
        <is>
          <t>ETF</t>
        </is>
      </c>
      <c r="B117" s="20" t="inlineStr">
        <is>
          <t>00735</t>
        </is>
      </c>
      <c r="C117" s="21" t="inlineStr">
        <is>
          <t>國泰臺韓科技</t>
        </is>
      </c>
      <c r="D117" s="20" t="n">
        <v>5</v>
      </c>
      <c r="E117" s="20" t="inlineStr">
        <is>
          <t>3711</t>
        </is>
      </c>
      <c r="F117" s="21" t="inlineStr">
        <is>
          <t>日月光投控</t>
        </is>
      </c>
      <c r="G117" s="21" t="inlineStr">
        <is>
          <t>科技電子</t>
        </is>
      </c>
      <c r="H117" s="25" t="n">
        <v>0.0301</v>
      </c>
      <c r="I117" s="21" t="inlineStr">
        <is>
          <t>472,000</t>
        </is>
      </c>
    </row>
    <row r="118" ht="19" customHeight="1">
      <c r="A118" s="26" t="inlineStr">
        <is>
          <t>ETF</t>
        </is>
      </c>
      <c r="B118" s="26" t="inlineStr">
        <is>
          <t>00735</t>
        </is>
      </c>
      <c r="C118" s="27" t="inlineStr">
        <is>
          <t>國泰臺韓科技</t>
        </is>
      </c>
      <c r="D118" s="26" t="n">
        <v>6</v>
      </c>
      <c r="E118" s="26" t="inlineStr">
        <is>
          <t>2317</t>
        </is>
      </c>
      <c r="F118" s="27" t="inlineStr">
        <is>
          <t>鴻海</t>
        </is>
      </c>
      <c r="G118" s="27" t="inlineStr">
        <is>
          <t>科技電子</t>
        </is>
      </c>
      <c r="H118" s="31" t="n">
        <v>0.0242</v>
      </c>
      <c r="I118" s="27" t="inlineStr">
        <is>
          <t>1,063,000</t>
        </is>
      </c>
    </row>
    <row r="119" ht="19" customHeight="1">
      <c r="A119" s="20" t="inlineStr">
        <is>
          <t>ETF</t>
        </is>
      </c>
      <c r="B119" s="20" t="inlineStr">
        <is>
          <t>00735</t>
        </is>
      </c>
      <c r="C119" s="21" t="inlineStr">
        <is>
          <t>國泰臺韓科技</t>
        </is>
      </c>
      <c r="D119" s="20" t="n">
        <v>7</v>
      </c>
      <c r="E119" s="20" t="inlineStr">
        <is>
          <t>2383</t>
        </is>
      </c>
      <c r="F119" s="21" t="inlineStr">
        <is>
          <t>台光電</t>
        </is>
      </c>
      <c r="G119" s="21" t="inlineStr">
        <is>
          <t>科技電子</t>
        </is>
      </c>
      <c r="H119" s="25" t="n">
        <v>0.0217</v>
      </c>
      <c r="I119" s="21" t="inlineStr">
        <is>
          <t>44,500</t>
        </is>
      </c>
    </row>
    <row r="120" ht="19" customHeight="1">
      <c r="A120" s="26" t="inlineStr">
        <is>
          <t>ETF</t>
        </is>
      </c>
      <c r="B120" s="26" t="inlineStr">
        <is>
          <t>00735</t>
        </is>
      </c>
      <c r="C120" s="27" t="inlineStr">
        <is>
          <t>國泰臺韓科技</t>
        </is>
      </c>
      <c r="D120" s="26" t="n">
        <v>8</v>
      </c>
      <c r="E120" s="26" t="inlineStr">
        <is>
          <t>3037</t>
        </is>
      </c>
      <c r="F120" s="27" t="inlineStr">
        <is>
          <t>欣興</t>
        </is>
      </c>
      <c r="G120" s="27" t="inlineStr">
        <is>
          <t>科技電子</t>
        </is>
      </c>
      <c r="H120" s="31" t="n">
        <v>0.0206</v>
      </c>
      <c r="I120" s="27" t="inlineStr">
        <is>
          <t>193,315</t>
        </is>
      </c>
    </row>
    <row r="121" ht="19" customHeight="1">
      <c r="A121" s="20" t="inlineStr">
        <is>
          <t>ETF</t>
        </is>
      </c>
      <c r="B121" s="20" t="inlineStr">
        <is>
          <t>00735</t>
        </is>
      </c>
      <c r="C121" s="21" t="inlineStr">
        <is>
          <t>國泰臺韓科技</t>
        </is>
      </c>
      <c r="D121" s="20" t="n">
        <v>9</v>
      </c>
      <c r="E121" s="20" t="inlineStr">
        <is>
          <t>2303</t>
        </is>
      </c>
      <c r="F121" s="21" t="inlineStr">
        <is>
          <t>聯電</t>
        </is>
      </c>
      <c r="G121" s="21" t="inlineStr">
        <is>
          <t>科技電子</t>
        </is>
      </c>
      <c r="H121" s="25" t="n">
        <v>0.0203</v>
      </c>
      <c r="I121" s="21" t="inlineStr">
        <is>
          <t>1,620,000</t>
        </is>
      </c>
    </row>
    <row r="122" ht="19" customHeight="1">
      <c r="A122" s="26" t="inlineStr">
        <is>
          <t>ETF</t>
        </is>
      </c>
      <c r="B122" s="26" t="inlineStr">
        <is>
          <t>00735</t>
        </is>
      </c>
      <c r="C122" s="27" t="inlineStr">
        <is>
          <t>國泰臺韓科技</t>
        </is>
      </c>
      <c r="D122" s="26" t="n">
        <v>10</v>
      </c>
      <c r="E122" s="26" t="inlineStr">
        <is>
          <t>2308</t>
        </is>
      </c>
      <c r="F122" s="27" t="inlineStr">
        <is>
          <t>台達電</t>
        </is>
      </c>
      <c r="G122" s="27" t="inlineStr">
        <is>
          <t>科技電子</t>
        </is>
      </c>
      <c r="H122" s="31" t="n">
        <v>0.0195</v>
      </c>
      <c r="I122" s="27" t="inlineStr">
        <is>
          <t>125,000</t>
        </is>
      </c>
    </row>
    <row r="123" ht="19" customHeight="1">
      <c r="A123" s="20" t="inlineStr">
        <is>
          <t>ETF</t>
        </is>
      </c>
      <c r="B123" s="20" t="inlineStr">
        <is>
          <t>00830</t>
        </is>
      </c>
      <c r="C123" s="21" t="inlineStr">
        <is>
          <t>國泰費城半導體</t>
        </is>
      </c>
      <c r="D123" s="20" t="n">
        <v>1</v>
      </c>
      <c r="E123" s="20" t="inlineStr">
        <is>
          <t>NVDA.US</t>
        </is>
      </c>
      <c r="F123" s="21" t="inlineStr">
        <is>
          <t>NVIDIA CORPORATION</t>
        </is>
      </c>
      <c r="G123" s="21" t="inlineStr">
        <is>
          <t>海外/全球股票</t>
        </is>
      </c>
      <c r="H123" s="23" t="n">
        <v>0.1204</v>
      </c>
      <c r="I123" s="21" t="inlineStr">
        <is>
          <t>1,276,794</t>
        </is>
      </c>
    </row>
    <row r="124" ht="19" customHeight="1">
      <c r="A124" s="26" t="inlineStr">
        <is>
          <t>ETF</t>
        </is>
      </c>
      <c r="B124" s="26" t="inlineStr">
        <is>
          <t>00830</t>
        </is>
      </c>
      <c r="C124" s="27" t="inlineStr">
        <is>
          <t>國泰費城半導體</t>
        </is>
      </c>
      <c r="D124" s="26" t="n">
        <v>2</v>
      </c>
      <c r="E124" s="26" t="inlineStr">
        <is>
          <t>AVGO.US</t>
        </is>
      </c>
      <c r="F124" s="27" t="inlineStr">
        <is>
          <t>BROADCOM INC</t>
        </is>
      </c>
      <c r="G124" s="27" t="inlineStr">
        <is>
          <t>海外/全球股票</t>
        </is>
      </c>
      <c r="H124" s="29" t="n">
        <v>0.0922</v>
      </c>
      <c r="I124" s="27" t="inlineStr">
        <is>
          <t>634,331</t>
        </is>
      </c>
    </row>
    <row r="125" ht="19" customHeight="1">
      <c r="A125" s="20" t="inlineStr">
        <is>
          <t>ETF</t>
        </is>
      </c>
      <c r="B125" s="20" t="inlineStr">
        <is>
          <t>00830</t>
        </is>
      </c>
      <c r="C125" s="21" t="inlineStr">
        <is>
          <t>國泰費城半導體</t>
        </is>
      </c>
      <c r="D125" s="20" t="n">
        <v>3</v>
      </c>
      <c r="E125" s="20" t="inlineStr">
        <is>
          <t>MU.US</t>
        </is>
      </c>
      <c r="F125" s="21" t="inlineStr">
        <is>
          <t>Micron Technology Inc</t>
        </is>
      </c>
      <c r="G125" s="21" t="inlineStr">
        <is>
          <t>海外/全球股票</t>
        </is>
      </c>
      <c r="H125" s="23" t="n">
        <v>0.0771</v>
      </c>
      <c r="I125" s="21" t="inlineStr">
        <is>
          <t>196,024</t>
        </is>
      </c>
    </row>
    <row r="126" ht="19" customHeight="1">
      <c r="A126" s="26" t="inlineStr">
        <is>
          <t>ETF</t>
        </is>
      </c>
      <c r="B126" s="26" t="inlineStr">
        <is>
          <t>00830</t>
        </is>
      </c>
      <c r="C126" s="27" t="inlineStr">
        <is>
          <t>國泰費城半導體</t>
        </is>
      </c>
      <c r="D126" s="26" t="n">
        <v>4</v>
      </c>
      <c r="E126" s="26" t="inlineStr">
        <is>
          <t>AMD.US</t>
        </is>
      </c>
      <c r="F126" s="27" t="inlineStr">
        <is>
          <t>ADV MICRO DEVICES</t>
        </is>
      </c>
      <c r="G126" s="27" t="inlineStr">
        <is>
          <t>海外/全球股票</t>
        </is>
      </c>
      <c r="H126" s="31" t="n">
        <v>0.0467</v>
      </c>
      <c r="I126" s="27" t="inlineStr">
        <is>
          <t>199,624</t>
        </is>
      </c>
    </row>
    <row r="127" ht="19" customHeight="1">
      <c r="A127" s="20" t="inlineStr">
        <is>
          <t>ETF</t>
        </is>
      </c>
      <c r="B127" s="20" t="inlineStr">
        <is>
          <t>00830</t>
        </is>
      </c>
      <c r="C127" s="21" t="inlineStr">
        <is>
          <t>國泰費城半導體</t>
        </is>
      </c>
      <c r="D127" s="20" t="n">
        <v>5</v>
      </c>
      <c r="E127" s="20" t="inlineStr">
        <is>
          <t>MRVL.US</t>
        </is>
      </c>
      <c r="F127" s="21" t="inlineStr">
        <is>
          <t>MARVELL TECH GROUP</t>
        </is>
      </c>
      <c r="G127" s="21" t="inlineStr">
        <is>
          <t>海外/全球股票</t>
        </is>
      </c>
      <c r="H127" s="25" t="n">
        <v>0.0457</v>
      </c>
      <c r="I127" s="21" t="inlineStr">
        <is>
          <t>443,954</t>
        </is>
      </c>
    </row>
    <row r="128" ht="19" customHeight="1">
      <c r="A128" s="26" t="inlineStr">
        <is>
          <t>ETF</t>
        </is>
      </c>
      <c r="B128" s="26" t="inlineStr">
        <is>
          <t>00830</t>
        </is>
      </c>
      <c r="C128" s="27" t="inlineStr">
        <is>
          <t>國泰費城半導體</t>
        </is>
      </c>
      <c r="D128" s="26" t="n">
        <v>6</v>
      </c>
      <c r="E128" s="26" t="inlineStr">
        <is>
          <t>ADI.US</t>
        </is>
      </c>
      <c r="F128" s="27" t="inlineStr">
        <is>
          <t>ANALOG DEVICES INC</t>
        </is>
      </c>
      <c r="G128" s="27" t="inlineStr">
        <is>
          <t>海外/全球股票</t>
        </is>
      </c>
      <c r="H128" s="31" t="n">
        <v>0.0445</v>
      </c>
      <c r="I128" s="27" t="inlineStr">
        <is>
          <t>259,478</t>
        </is>
      </c>
    </row>
    <row r="129" ht="19" customHeight="1">
      <c r="A129" s="20" t="inlineStr">
        <is>
          <t>ETF</t>
        </is>
      </c>
      <c r="B129" s="20" t="inlineStr">
        <is>
          <t>00830</t>
        </is>
      </c>
      <c r="C129" s="21" t="inlineStr">
        <is>
          <t>國泰費城半導體</t>
        </is>
      </c>
      <c r="D129" s="20" t="n">
        <v>7</v>
      </c>
      <c r="E129" s="20" t="inlineStr">
        <is>
          <t>TXN.US</t>
        </is>
      </c>
      <c r="F129" s="21" t="inlineStr">
        <is>
          <t>TEXAS INSTRUMENTS INC</t>
        </is>
      </c>
      <c r="G129" s="21" t="inlineStr">
        <is>
          <t>海外/全球股票</t>
        </is>
      </c>
      <c r="H129" s="25" t="n">
        <v>0.0432</v>
      </c>
      <c r="I129" s="21" t="inlineStr">
        <is>
          <t>360,152</t>
        </is>
      </c>
    </row>
    <row r="130" ht="19" customHeight="1">
      <c r="A130" s="26" t="inlineStr">
        <is>
          <t>ETF</t>
        </is>
      </c>
      <c r="B130" s="26" t="inlineStr">
        <is>
          <t>00830</t>
        </is>
      </c>
      <c r="C130" s="27" t="inlineStr">
        <is>
          <t>國泰費城半導體</t>
        </is>
      </c>
      <c r="D130" s="26" t="n">
        <v>8</v>
      </c>
      <c r="E130" s="26" t="inlineStr">
        <is>
          <t>INTC.US</t>
        </is>
      </c>
      <c r="F130" s="27" t="inlineStr">
        <is>
          <t>Intel Corp</t>
        </is>
      </c>
      <c r="G130" s="27" t="inlineStr">
        <is>
          <t>海外/全球股票</t>
        </is>
      </c>
      <c r="H130" s="31" t="n">
        <v>0.042</v>
      </c>
      <c r="I130" s="27" t="inlineStr">
        <is>
          <t>1,049,796</t>
        </is>
      </c>
    </row>
    <row r="131" ht="19" customHeight="1">
      <c r="A131" s="20" t="inlineStr">
        <is>
          <t>ETF</t>
        </is>
      </c>
      <c r="B131" s="20" t="inlineStr">
        <is>
          <t>00830</t>
        </is>
      </c>
      <c r="C131" s="21" t="inlineStr">
        <is>
          <t>國泰費城半導體</t>
        </is>
      </c>
      <c r="D131" s="20" t="n">
        <v>9</v>
      </c>
      <c r="E131" s="20" t="inlineStr">
        <is>
          <t>QCOM.US</t>
        </is>
      </c>
      <c r="F131" s="21" t="inlineStr">
        <is>
          <t>QUALCOMM INC</t>
        </is>
      </c>
      <c r="G131" s="21" t="inlineStr">
        <is>
          <t>海外/全球股票</t>
        </is>
      </c>
      <c r="H131" s="25" t="n">
        <v>0.0416</v>
      </c>
      <c r="I131" s="21" t="inlineStr">
        <is>
          <t>551,192</t>
        </is>
      </c>
    </row>
    <row r="132" ht="19" customHeight="1">
      <c r="A132" s="26" t="inlineStr">
        <is>
          <t>ETF</t>
        </is>
      </c>
      <c r="B132" s="26" t="inlineStr">
        <is>
          <t>00830</t>
        </is>
      </c>
      <c r="C132" s="27" t="inlineStr">
        <is>
          <t>國泰費城半導體</t>
        </is>
      </c>
      <c r="D132" s="26" t="n">
        <v>10</v>
      </c>
      <c r="E132" s="26" t="inlineStr">
        <is>
          <t>TSM.US</t>
        </is>
      </c>
      <c r="F132" s="27" t="inlineStr">
        <is>
          <t>TAIWAN SEMICOND ADS</t>
        </is>
      </c>
      <c r="G132" s="27" t="inlineStr">
        <is>
          <t>海外/全球股票</t>
        </is>
      </c>
      <c r="H132" s="31" t="n">
        <v>0.0413</v>
      </c>
      <c r="I132" s="27" t="inlineStr">
        <is>
          <t>226,253</t>
        </is>
      </c>
    </row>
    <row r="133" ht="19" customHeight="1">
      <c r="A133" s="20" t="inlineStr">
        <is>
          <t>ETF</t>
        </is>
      </c>
      <c r="B133" s="20" t="inlineStr">
        <is>
          <t>00770</t>
        </is>
      </c>
      <c r="C133" s="21" t="inlineStr">
        <is>
          <t>國泰北美科技</t>
        </is>
      </c>
      <c r="D133" s="20" t="n">
        <v>1</v>
      </c>
      <c r="E133" s="20" t="inlineStr">
        <is>
          <t>AAPL.US</t>
        </is>
      </c>
      <c r="F133" s="21" t="inlineStr">
        <is>
          <t>Apple Inc.</t>
        </is>
      </c>
      <c r="G133" s="21" t="inlineStr">
        <is>
          <t>海外/全球股票</t>
        </is>
      </c>
      <c r="H133" s="23" t="n">
        <v>0.092</v>
      </c>
      <c r="I133" s="21" t="inlineStr">
        <is>
          <t>50,599</t>
        </is>
      </c>
    </row>
    <row r="134" ht="19" customHeight="1">
      <c r="A134" s="26" t="inlineStr">
        <is>
          <t>ETF</t>
        </is>
      </c>
      <c r="B134" s="26" t="inlineStr">
        <is>
          <t>00770</t>
        </is>
      </c>
      <c r="C134" s="27" t="inlineStr">
        <is>
          <t>國泰北美科技</t>
        </is>
      </c>
      <c r="D134" s="26" t="n">
        <v>2</v>
      </c>
      <c r="E134" s="26" t="inlineStr">
        <is>
          <t>MSFT.US</t>
        </is>
      </c>
      <c r="F134" s="27" t="inlineStr">
        <is>
          <t>Microsoft Corp</t>
        </is>
      </c>
      <c r="G134" s="27" t="inlineStr">
        <is>
          <t>海外/全球股票</t>
        </is>
      </c>
      <c r="H134" s="29" t="n">
        <v>0.09179999999999999</v>
      </c>
      <c r="I134" s="27" t="inlineStr">
        <is>
          <t>32,454</t>
        </is>
      </c>
    </row>
    <row r="135" ht="19" customHeight="1">
      <c r="A135" s="20" t="inlineStr">
        <is>
          <t>ETF</t>
        </is>
      </c>
      <c r="B135" s="20" t="inlineStr">
        <is>
          <t>00770</t>
        </is>
      </c>
      <c r="C135" s="21" t="inlineStr">
        <is>
          <t>國泰北美科技</t>
        </is>
      </c>
      <c r="D135" s="20" t="n">
        <v>3</v>
      </c>
      <c r="E135" s="20" t="inlineStr">
        <is>
          <t>NVDA.US</t>
        </is>
      </c>
      <c r="F135" s="21" t="inlineStr">
        <is>
          <t>NVIDIA CORPORATION</t>
        </is>
      </c>
      <c r="G135" s="21" t="inlineStr">
        <is>
          <t>海外/全球股票</t>
        </is>
      </c>
      <c r="H135" s="23" t="n">
        <v>0.08210000000000001</v>
      </c>
      <c r="I135" s="21" t="inlineStr">
        <is>
          <t>71,336</t>
        </is>
      </c>
    </row>
    <row r="136" ht="19" customHeight="1">
      <c r="A136" s="26" t="inlineStr">
        <is>
          <t>ETF</t>
        </is>
      </c>
      <c r="B136" s="26" t="inlineStr">
        <is>
          <t>00770</t>
        </is>
      </c>
      <c r="C136" s="27" t="inlineStr">
        <is>
          <t>國泰北美科技</t>
        </is>
      </c>
      <c r="D136" s="26" t="n">
        <v>4</v>
      </c>
      <c r="E136" s="26" t="inlineStr">
        <is>
          <t>AVGO.US</t>
        </is>
      </c>
      <c r="F136" s="27" t="inlineStr">
        <is>
          <t>BROADCOM INC</t>
        </is>
      </c>
      <c r="G136" s="27" t="inlineStr">
        <is>
          <t>海外/全球股票</t>
        </is>
      </c>
      <c r="H136" s="29" t="n">
        <v>0.0702</v>
      </c>
      <c r="I136" s="27" t="inlineStr">
        <is>
          <t>39,567</t>
        </is>
      </c>
    </row>
    <row r="137" ht="19" customHeight="1">
      <c r="A137" s="20" t="inlineStr">
        <is>
          <t>ETF</t>
        </is>
      </c>
      <c r="B137" s="20" t="inlineStr">
        <is>
          <t>00770</t>
        </is>
      </c>
      <c r="C137" s="21" t="inlineStr">
        <is>
          <t>國泰北美科技</t>
        </is>
      </c>
      <c r="D137" s="20" t="n">
        <v>5</v>
      </c>
      <c r="E137" s="20" t="inlineStr">
        <is>
          <t>GOOGL.US</t>
        </is>
      </c>
      <c r="F137" s="21" t="inlineStr">
        <is>
          <t>ALPHABET CL A CMN</t>
        </is>
      </c>
      <c r="G137" s="21" t="inlineStr">
        <is>
          <t>海外/全球股票</t>
        </is>
      </c>
      <c r="H137" s="25" t="n">
        <v>0.0488</v>
      </c>
      <c r="I137" s="21" t="inlineStr">
        <is>
          <t>26,743</t>
        </is>
      </c>
    </row>
    <row r="138" ht="19" customHeight="1">
      <c r="A138" s="26" t="inlineStr">
        <is>
          <t>ETF</t>
        </is>
      </c>
      <c r="B138" s="26" t="inlineStr">
        <is>
          <t>00770</t>
        </is>
      </c>
      <c r="C138" s="27" t="inlineStr">
        <is>
          <t>國泰北美科技</t>
        </is>
      </c>
      <c r="D138" s="26" t="n">
        <v>6</v>
      </c>
      <c r="E138" s="26" t="inlineStr">
        <is>
          <t>META.US</t>
        </is>
      </c>
      <c r="F138" s="27" t="inlineStr">
        <is>
          <t>Meta平台公司</t>
        </is>
      </c>
      <c r="G138" s="27" t="inlineStr">
        <is>
          <t>海外/全球股票</t>
        </is>
      </c>
      <c r="H138" s="31" t="n">
        <v>0.0483</v>
      </c>
      <c r="I138" s="27" t="inlineStr">
        <is>
          <t>12,922</t>
        </is>
      </c>
    </row>
    <row r="139" ht="19" customHeight="1">
      <c r="A139" s="20" t="inlineStr">
        <is>
          <t>ETF</t>
        </is>
      </c>
      <c r="B139" s="20" t="inlineStr">
        <is>
          <t>00770</t>
        </is>
      </c>
      <c r="C139" s="21" t="inlineStr">
        <is>
          <t>國泰北美科技</t>
        </is>
      </c>
      <c r="D139" s="20" t="n">
        <v>7</v>
      </c>
      <c r="E139" s="20" t="inlineStr">
        <is>
          <t>AMD.US</t>
        </is>
      </c>
      <c r="F139" s="21" t="inlineStr">
        <is>
          <t>ADV MICRO DEVICES</t>
        </is>
      </c>
      <c r="G139" s="21" t="inlineStr">
        <is>
          <t>海外/全球股票</t>
        </is>
      </c>
      <c r="H139" s="25" t="n">
        <v>0.0408</v>
      </c>
      <c r="I139" s="21" t="inlineStr">
        <is>
          <t>14,310</t>
        </is>
      </c>
    </row>
    <row r="140" ht="19" customHeight="1">
      <c r="A140" s="26" t="inlineStr">
        <is>
          <t>ETF</t>
        </is>
      </c>
      <c r="B140" s="26" t="inlineStr">
        <is>
          <t>00770</t>
        </is>
      </c>
      <c r="C140" s="27" t="inlineStr">
        <is>
          <t>國泰北美科技</t>
        </is>
      </c>
      <c r="D140" s="26" t="n">
        <v>8</v>
      </c>
      <c r="E140" s="26" t="inlineStr">
        <is>
          <t>MU.US</t>
        </is>
      </c>
      <c r="F140" s="27" t="inlineStr">
        <is>
          <t>Micron Technology Inc</t>
        </is>
      </c>
      <c r="G140" s="27" t="inlineStr">
        <is>
          <t>海外/全球股票</t>
        </is>
      </c>
      <c r="H140" s="31" t="n">
        <v>0.0394</v>
      </c>
      <c r="I140" s="27" t="inlineStr">
        <is>
          <t>8,219</t>
        </is>
      </c>
    </row>
    <row r="141" ht="19" customHeight="1">
      <c r="A141" s="20" t="inlineStr">
        <is>
          <t>ETF</t>
        </is>
      </c>
      <c r="B141" s="20" t="inlineStr">
        <is>
          <t>00770</t>
        </is>
      </c>
      <c r="C141" s="21" t="inlineStr">
        <is>
          <t>國泰北美科技</t>
        </is>
      </c>
      <c r="D141" s="20" t="n">
        <v>9</v>
      </c>
      <c r="E141" s="20" t="inlineStr">
        <is>
          <t>GOOG.US</t>
        </is>
      </c>
      <c r="F141" s="21" t="inlineStr">
        <is>
          <t>ALPHABET INC-CL C</t>
        </is>
      </c>
      <c r="G141" s="21" t="inlineStr">
        <is>
          <t>海外/全球股票</t>
        </is>
      </c>
      <c r="H141" s="25" t="n">
        <v>0.0391</v>
      </c>
      <c r="I141" s="21" t="inlineStr">
        <is>
          <t>21,662</t>
        </is>
      </c>
    </row>
    <row r="142" ht="19" customHeight="1">
      <c r="A142" s="26" t="inlineStr">
        <is>
          <t>ETF</t>
        </is>
      </c>
      <c r="B142" s="26" t="inlineStr">
        <is>
          <t>00770</t>
        </is>
      </c>
      <c r="C142" s="27" t="inlineStr">
        <is>
          <t>國泰北美科技</t>
        </is>
      </c>
      <c r="D142" s="26" t="n">
        <v>10</v>
      </c>
      <c r="E142" s="26" t="inlineStr">
        <is>
          <t>INTC.US</t>
        </is>
      </c>
      <c r="F142" s="27" t="inlineStr">
        <is>
          <t>Intel Corp</t>
        </is>
      </c>
      <c r="G142" s="27" t="inlineStr">
        <is>
          <t>海外/全球股票</t>
        </is>
      </c>
      <c r="H142" s="31" t="n">
        <v>0.0213</v>
      </c>
      <c r="I142" s="27" t="inlineStr">
        <is>
          <t>43,558</t>
        </is>
      </c>
    </row>
    <row r="143" ht="19" customHeight="1">
      <c r="A143" s="20" t="inlineStr">
        <is>
          <t>ETF</t>
        </is>
      </c>
      <c r="B143" s="20" t="inlineStr">
        <is>
          <t>00893</t>
        </is>
      </c>
      <c r="C143" s="21" t="inlineStr">
        <is>
          <t>國泰智能電動車</t>
        </is>
      </c>
      <c r="D143" s="20" t="n">
        <v>1</v>
      </c>
      <c r="E143" s="20" t="inlineStr">
        <is>
          <t>AMD.US</t>
        </is>
      </c>
      <c r="F143" s="21" t="inlineStr">
        <is>
          <t>ADV MICRO DEVICES</t>
        </is>
      </c>
      <c r="G143" s="21" t="inlineStr">
        <is>
          <t>海外/全球股票</t>
        </is>
      </c>
      <c r="H143" s="23" t="n">
        <v>0.2597</v>
      </c>
      <c r="I143" s="21" t="inlineStr">
        <is>
          <t>227,527</t>
        </is>
      </c>
    </row>
    <row r="144" ht="19" customHeight="1">
      <c r="A144" s="26" t="inlineStr">
        <is>
          <t>ETF</t>
        </is>
      </c>
      <c r="B144" s="26" t="inlineStr">
        <is>
          <t>00893</t>
        </is>
      </c>
      <c r="C144" s="27" t="inlineStr">
        <is>
          <t>國泰智能電動車</t>
        </is>
      </c>
      <c r="D144" s="26" t="n">
        <v>2</v>
      </c>
      <c r="E144" s="26" t="inlineStr">
        <is>
          <t>NVDA.US</t>
        </is>
      </c>
      <c r="F144" s="27" t="inlineStr">
        <is>
          <t>NVIDIA CORPORATION</t>
        </is>
      </c>
      <c r="G144" s="27" t="inlineStr">
        <is>
          <t>海外/全球股票</t>
        </is>
      </c>
      <c r="H144" s="29" t="n">
        <v>0.1443</v>
      </c>
      <c r="I144" s="27" t="inlineStr">
        <is>
          <t>313,319</t>
        </is>
      </c>
    </row>
    <row r="145" ht="19" customHeight="1">
      <c r="A145" s="20" t="inlineStr">
        <is>
          <t>ETF</t>
        </is>
      </c>
      <c r="B145" s="20" t="inlineStr">
        <is>
          <t>00893</t>
        </is>
      </c>
      <c r="C145" s="21" t="inlineStr">
        <is>
          <t>國泰智能電動車</t>
        </is>
      </c>
      <c r="D145" s="20" t="n">
        <v>3</v>
      </c>
      <c r="E145" s="20" t="inlineStr">
        <is>
          <t>TSLA.US</t>
        </is>
      </c>
      <c r="F145" s="21" t="inlineStr">
        <is>
          <t>TESLA, INC.</t>
        </is>
      </c>
      <c r="G145" s="21" t="inlineStr">
        <is>
          <t>海外/全球股票</t>
        </is>
      </c>
      <c r="H145" s="23" t="n">
        <v>0.1232</v>
      </c>
      <c r="I145" s="21" t="inlineStr">
        <is>
          <t>157,731</t>
        </is>
      </c>
    </row>
    <row r="146" ht="19" customHeight="1">
      <c r="A146" s="26" t="inlineStr">
        <is>
          <t>ETF</t>
        </is>
      </c>
      <c r="B146" s="26" t="inlineStr">
        <is>
          <t>00893</t>
        </is>
      </c>
      <c r="C146" s="27" t="inlineStr">
        <is>
          <t>國泰智能電動車</t>
        </is>
      </c>
      <c r="D146" s="26" t="n">
        <v>4</v>
      </c>
      <c r="E146" s="26" t="inlineStr">
        <is>
          <t>TXN.US</t>
        </is>
      </c>
      <c r="F146" s="27" t="inlineStr">
        <is>
          <t>TEXAS INSTRUMENTS INC</t>
        </is>
      </c>
      <c r="G146" s="27" t="inlineStr">
        <is>
          <t>海外/全球股票</t>
        </is>
      </c>
      <c r="H146" s="29" t="n">
        <v>0.1016</v>
      </c>
      <c r="I146" s="27" t="inlineStr">
        <is>
          <t>173,470</t>
        </is>
      </c>
    </row>
    <row r="147" ht="19" customHeight="1">
      <c r="A147" s="20" t="inlineStr">
        <is>
          <t>ETF</t>
        </is>
      </c>
      <c r="B147" s="20" t="inlineStr">
        <is>
          <t>00893</t>
        </is>
      </c>
      <c r="C147" s="21" t="inlineStr">
        <is>
          <t>國泰智能電動車</t>
        </is>
      </c>
      <c r="D147" s="20" t="n">
        <v>5</v>
      </c>
      <c r="E147" s="20" t="inlineStr">
        <is>
          <t>ABBN.SW</t>
        </is>
      </c>
      <c r="F147" s="21" t="inlineStr">
        <is>
          <t>ABB Rg</t>
        </is>
      </c>
      <c r="G147" s="21" t="inlineStr">
        <is>
          <t>海外/全球股票</t>
        </is>
      </c>
      <c r="H147" s="23" t="n">
        <v>0.0549</v>
      </c>
      <c r="I147" s="21" t="inlineStr">
        <is>
          <t>285,200</t>
        </is>
      </c>
    </row>
    <row r="148" ht="19" customHeight="1">
      <c r="A148" s="26" t="inlineStr">
        <is>
          <t>ETF</t>
        </is>
      </c>
      <c r="B148" s="26" t="inlineStr">
        <is>
          <t>00893</t>
        </is>
      </c>
      <c r="C148" s="27" t="inlineStr">
        <is>
          <t>國泰智能電動車</t>
        </is>
      </c>
      <c r="D148" s="26" t="n">
        <v>6</v>
      </c>
      <c r="E148" s="26" t="inlineStr">
        <is>
          <t>300750.CH</t>
        </is>
      </c>
      <c r="F148" s="27" t="inlineStr">
        <is>
          <t>寧德時代</t>
        </is>
      </c>
      <c r="G148" s="27" t="inlineStr">
        <is>
          <t>海外/全球股票</t>
        </is>
      </c>
      <c r="H148" s="31" t="n">
        <v>0.04</v>
      </c>
      <c r="I148" s="27" t="inlineStr">
        <is>
          <t>471,800</t>
        </is>
      </c>
    </row>
    <row r="149" ht="19" customHeight="1">
      <c r="A149" s="20" t="inlineStr">
        <is>
          <t>ETF</t>
        </is>
      </c>
      <c r="B149" s="20" t="inlineStr">
        <is>
          <t>00893</t>
        </is>
      </c>
      <c r="C149" s="21" t="inlineStr">
        <is>
          <t>國泰智能電動車</t>
        </is>
      </c>
      <c r="D149" s="20" t="n">
        <v>7</v>
      </c>
      <c r="E149" s="20" t="inlineStr">
        <is>
          <t>EMR.US</t>
        </is>
      </c>
      <c r="F149" s="21" t="inlineStr">
        <is>
          <t>Emerson Electric Co</t>
        </is>
      </c>
      <c r="G149" s="21" t="inlineStr">
        <is>
          <t>海外/全球股票</t>
        </is>
      </c>
      <c r="H149" s="25" t="n">
        <v>0.0375</v>
      </c>
      <c r="I149" s="21" t="inlineStr">
        <is>
          <t>110,214</t>
        </is>
      </c>
    </row>
    <row r="150" ht="19" customHeight="1">
      <c r="A150" s="26" t="inlineStr">
        <is>
          <t>ETF</t>
        </is>
      </c>
      <c r="B150" s="26" t="inlineStr">
        <is>
          <t>00893</t>
        </is>
      </c>
      <c r="C150" s="27" t="inlineStr">
        <is>
          <t>國泰智能電動車</t>
        </is>
      </c>
      <c r="D150" s="26" t="n">
        <v>8</v>
      </c>
      <c r="E150" s="26" t="inlineStr">
        <is>
          <t>2308</t>
        </is>
      </c>
      <c r="F150" s="27" t="inlineStr">
        <is>
          <t>台達電</t>
        </is>
      </c>
      <c r="G150" s="27" t="inlineStr">
        <is>
          <t>科技電子</t>
        </is>
      </c>
      <c r="H150" s="31" t="n">
        <v>0.0341</v>
      </c>
      <c r="I150" s="27" t="inlineStr">
        <is>
          <t>319,000</t>
        </is>
      </c>
    </row>
    <row r="151" ht="19" customHeight="1">
      <c r="A151" s="20" t="inlineStr">
        <is>
          <t>ETF</t>
        </is>
      </c>
      <c r="B151" s="20" t="inlineStr">
        <is>
          <t>00893</t>
        </is>
      </c>
      <c r="C151" s="21" t="inlineStr">
        <is>
          <t>國泰智能電動車</t>
        </is>
      </c>
      <c r="D151" s="20" t="n">
        <v>9</v>
      </c>
      <c r="E151" s="20" t="inlineStr">
        <is>
          <t>IFX.GR</t>
        </is>
      </c>
      <c r="F151" s="21" t="inlineStr">
        <is>
          <t>Infineon Technolo N</t>
        </is>
      </c>
      <c r="G151" s="21" t="inlineStr">
        <is>
          <t>其他產業</t>
        </is>
      </c>
      <c r="H151" s="25" t="n">
        <v>0.0269</v>
      </c>
      <c r="I151" s="21" t="inlineStr">
        <is>
          <t>217,261</t>
        </is>
      </c>
    </row>
    <row r="152" ht="19" customHeight="1">
      <c r="A152" s="26" t="inlineStr">
        <is>
          <t>ETF</t>
        </is>
      </c>
      <c r="B152" s="26" t="inlineStr">
        <is>
          <t>00893</t>
        </is>
      </c>
      <c r="C152" s="27" t="inlineStr">
        <is>
          <t>國泰智能電動車</t>
        </is>
      </c>
      <c r="D152" s="26" t="n">
        <v>10</v>
      </c>
      <c r="E152" s="26" t="inlineStr">
        <is>
          <t>6752.JP</t>
        </is>
      </c>
      <c r="F152" s="27" t="inlineStr">
        <is>
          <t>PANASONIC CORP.</t>
        </is>
      </c>
      <c r="G152" s="27" t="inlineStr">
        <is>
          <t>海外/全球股票</t>
        </is>
      </c>
      <c r="H152" s="31" t="n">
        <v>0.0251</v>
      </c>
      <c r="I152" s="27" t="inlineStr">
        <is>
          <t>469,200</t>
        </is>
      </c>
    </row>
    <row r="153" ht="19" customHeight="1">
      <c r="A153" s="20" t="inlineStr">
        <is>
          <t>共同基金</t>
        </is>
      </c>
      <c r="B153" s="20" t="inlineStr">
        <is>
          <t>CM</t>
        </is>
      </c>
      <c r="C153" s="21" t="inlineStr">
        <is>
          <t>國泰台灣高股息基金(新台幣)-B</t>
        </is>
      </c>
      <c r="D153" s="20" t="n">
        <v>1</v>
      </c>
      <c r="E153" s="20" t="inlineStr"/>
      <c r="F153" s="21" t="inlineStr">
        <is>
          <t>台積電</t>
        </is>
      </c>
      <c r="G153" s="21" t="inlineStr">
        <is>
          <t>台積電 (半導體)</t>
        </is>
      </c>
      <c r="H153" s="23" t="n">
        <v>0.0789</v>
      </c>
      <c r="I153" s="21" t="inlineStr">
        <is>
          <t>-</t>
        </is>
      </c>
    </row>
    <row r="154" ht="19" customHeight="1">
      <c r="A154" s="26" t="inlineStr">
        <is>
          <t>共同基金</t>
        </is>
      </c>
      <c r="B154" s="26" t="inlineStr">
        <is>
          <t>CM</t>
        </is>
      </c>
      <c r="C154" s="27" t="inlineStr">
        <is>
          <t>國泰台灣高股息基金(新台幣)-B</t>
        </is>
      </c>
      <c r="D154" s="26" t="n">
        <v>2</v>
      </c>
      <c r="E154" s="26" t="inlineStr"/>
      <c r="F154" s="27" t="inlineStr">
        <is>
          <t>聯發科</t>
        </is>
      </c>
      <c r="G154" s="27" t="inlineStr">
        <is>
          <t>科技電子</t>
        </is>
      </c>
      <c r="H154" s="29" t="n">
        <v>0.06570000000000001</v>
      </c>
      <c r="I154" s="27" t="inlineStr">
        <is>
          <t>-</t>
        </is>
      </c>
    </row>
    <row r="155" ht="19" customHeight="1">
      <c r="A155" s="20" t="inlineStr">
        <is>
          <t>共同基金</t>
        </is>
      </c>
      <c r="B155" s="20" t="inlineStr">
        <is>
          <t>CM</t>
        </is>
      </c>
      <c r="C155" s="21" t="inlineStr">
        <is>
          <t>國泰台灣高股息基金(新台幣)-B</t>
        </is>
      </c>
      <c r="D155" s="20" t="n">
        <v>3</v>
      </c>
      <c r="E155" s="20" t="inlineStr"/>
      <c r="F155" s="21" t="inlineStr">
        <is>
          <t>欣  興</t>
        </is>
      </c>
      <c r="G155" s="21" t="inlineStr">
        <is>
          <t>科技電子</t>
        </is>
      </c>
      <c r="H155" s="23" t="n">
        <v>0.0573</v>
      </c>
      <c r="I155" s="21" t="inlineStr">
        <is>
          <t>-</t>
        </is>
      </c>
    </row>
    <row r="156" ht="19" customHeight="1">
      <c r="A156" s="26" t="inlineStr">
        <is>
          <t>共同基金</t>
        </is>
      </c>
      <c r="B156" s="26" t="inlineStr">
        <is>
          <t>CM</t>
        </is>
      </c>
      <c r="C156" s="27" t="inlineStr">
        <is>
          <t>國泰台灣高股息基金(新台幣)-B</t>
        </is>
      </c>
      <c r="D156" s="26" t="n">
        <v>4</v>
      </c>
      <c r="E156" s="26" t="inlineStr"/>
      <c r="F156" s="27" t="inlineStr">
        <is>
          <t>川  湖</t>
        </is>
      </c>
      <c r="G156" s="27" t="inlineStr">
        <is>
          <t>科技電子</t>
        </is>
      </c>
      <c r="H156" s="31" t="n">
        <v>0.04969999999999999</v>
      </c>
      <c r="I156" s="27" t="inlineStr">
        <is>
          <t>-</t>
        </is>
      </c>
    </row>
    <row r="157" ht="19" customHeight="1">
      <c r="A157" s="20" t="inlineStr">
        <is>
          <t>共同基金</t>
        </is>
      </c>
      <c r="B157" s="20" t="inlineStr">
        <is>
          <t>CM</t>
        </is>
      </c>
      <c r="C157" s="21" t="inlineStr">
        <is>
          <t>國泰台灣高股息基金(新台幣)-B</t>
        </is>
      </c>
      <c r="D157" s="20" t="n">
        <v>5</v>
      </c>
      <c r="E157" s="20" t="inlineStr"/>
      <c r="F157" s="21" t="inlineStr">
        <is>
          <t>台光電</t>
        </is>
      </c>
      <c r="G157" s="21" t="inlineStr">
        <is>
          <t>科技電子</t>
        </is>
      </c>
      <c r="H157" s="25" t="n">
        <v>0.0483</v>
      </c>
      <c r="I157" s="21" t="inlineStr">
        <is>
          <t>-</t>
        </is>
      </c>
    </row>
    <row r="158" ht="19" customHeight="1">
      <c r="A158" s="26" t="inlineStr">
        <is>
          <t>共同基金</t>
        </is>
      </c>
      <c r="B158" s="26" t="inlineStr">
        <is>
          <t>CM</t>
        </is>
      </c>
      <c r="C158" s="27" t="inlineStr">
        <is>
          <t>國泰台灣高股息基金(新台幣)-B</t>
        </is>
      </c>
      <c r="D158" s="26" t="n">
        <v>6</v>
      </c>
      <c r="E158" s="26" t="inlineStr"/>
      <c r="F158" s="27" t="inlineStr">
        <is>
          <t>台達電</t>
        </is>
      </c>
      <c r="G158" s="27" t="inlineStr">
        <is>
          <t>科技電子</t>
        </is>
      </c>
      <c r="H158" s="31" t="n">
        <v>0.0478</v>
      </c>
      <c r="I158" s="27" t="inlineStr">
        <is>
          <t>-</t>
        </is>
      </c>
    </row>
    <row r="159" ht="19" customHeight="1">
      <c r="A159" s="20" t="inlineStr">
        <is>
          <t>共同基金</t>
        </is>
      </c>
      <c r="B159" s="20" t="inlineStr">
        <is>
          <t>CM</t>
        </is>
      </c>
      <c r="C159" s="21" t="inlineStr">
        <is>
          <t>國泰台灣高股息基金(新台幣)-B</t>
        </is>
      </c>
      <c r="D159" s="20" t="n">
        <v>7</v>
      </c>
      <c r="E159" s="20" t="inlineStr"/>
      <c r="F159" s="21" t="inlineStr">
        <is>
          <t>健  策</t>
        </is>
      </c>
      <c r="G159" s="21" t="inlineStr">
        <is>
          <t>科技電子</t>
        </is>
      </c>
      <c r="H159" s="25" t="n">
        <v>0.0451</v>
      </c>
      <c r="I159" s="21" t="inlineStr">
        <is>
          <t>-</t>
        </is>
      </c>
    </row>
    <row r="160" ht="19" customHeight="1">
      <c r="A160" s="26" t="inlineStr">
        <is>
          <t>共同基金</t>
        </is>
      </c>
      <c r="B160" s="26" t="inlineStr">
        <is>
          <t>CM</t>
        </is>
      </c>
      <c r="C160" s="27" t="inlineStr">
        <is>
          <t>國泰台灣高股息基金(新台幣)-B</t>
        </is>
      </c>
      <c r="D160" s="26" t="n">
        <v>8</v>
      </c>
      <c r="E160" s="26" t="inlineStr"/>
      <c r="F160" s="27" t="inlineStr">
        <is>
          <t>創  意</t>
        </is>
      </c>
      <c r="G160" s="27" t="inlineStr">
        <is>
          <t>科技電子</t>
        </is>
      </c>
      <c r="H160" s="31" t="n">
        <v>0.04</v>
      </c>
      <c r="I160" s="27" t="inlineStr">
        <is>
          <t>-</t>
        </is>
      </c>
    </row>
    <row r="161" ht="19" customHeight="1">
      <c r="A161" s="20" t="inlineStr">
        <is>
          <t>共同基金</t>
        </is>
      </c>
      <c r="B161" s="20" t="inlineStr">
        <is>
          <t>CM</t>
        </is>
      </c>
      <c r="C161" s="21" t="inlineStr">
        <is>
          <t>國泰台灣高股息基金(新台幣)-B</t>
        </is>
      </c>
      <c r="D161" s="20" t="n">
        <v>9</v>
      </c>
      <c r="E161" s="20" t="inlineStr"/>
      <c r="F161" s="21" t="inlineStr">
        <is>
          <t>旺  矽</t>
        </is>
      </c>
      <c r="G161" s="21" t="inlineStr">
        <is>
          <t>科技電子</t>
        </is>
      </c>
      <c r="H161" s="25" t="n">
        <v>0.0397</v>
      </c>
      <c r="I161" s="21" t="inlineStr">
        <is>
          <t>-</t>
        </is>
      </c>
    </row>
    <row r="162" ht="19" customHeight="1">
      <c r="A162" s="26" t="inlineStr">
        <is>
          <t>共同基金</t>
        </is>
      </c>
      <c r="B162" s="26" t="inlineStr">
        <is>
          <t>CM</t>
        </is>
      </c>
      <c r="C162" s="27" t="inlineStr">
        <is>
          <t>國泰台灣高股息基金(新台幣)-B</t>
        </is>
      </c>
      <c r="D162" s="26" t="n">
        <v>10</v>
      </c>
      <c r="E162" s="26" t="inlineStr"/>
      <c r="F162" s="27" t="inlineStr">
        <is>
          <t>奇  鋐</t>
        </is>
      </c>
      <c r="G162" s="27" t="inlineStr">
        <is>
          <t>科技電子</t>
        </is>
      </c>
      <c r="H162" s="31" t="n">
        <v>0.0396</v>
      </c>
      <c r="I162" s="27" t="inlineStr">
        <is>
          <t>-</t>
        </is>
      </c>
    </row>
    <row r="163" ht="19" customHeight="1">
      <c r="A163" s="20" t="inlineStr">
        <is>
          <t>共同基金</t>
        </is>
      </c>
      <c r="B163" s="20" t="inlineStr">
        <is>
          <t>C4</t>
        </is>
      </c>
      <c r="C163" s="21" t="inlineStr">
        <is>
          <t>國泰美國多重收益平衡基金(新台幣)-B</t>
        </is>
      </c>
      <c r="D163" s="20" t="n">
        <v>1</v>
      </c>
      <c r="E163" s="20" t="inlineStr"/>
      <c r="F163" s="21" t="inlineStr">
        <is>
          <t>NVIDIA CORP</t>
        </is>
      </c>
      <c r="G163" s="21" t="inlineStr">
        <is>
          <t>海外/全球股票</t>
        </is>
      </c>
      <c r="H163" s="25" t="n">
        <v>0.0408</v>
      </c>
      <c r="I163" s="21" t="inlineStr">
        <is>
          <t>-</t>
        </is>
      </c>
    </row>
    <row r="164" ht="19" customHeight="1">
      <c r="A164" s="26" t="inlineStr">
        <is>
          <t>共同基金</t>
        </is>
      </c>
      <c r="B164" s="26" t="inlineStr">
        <is>
          <t>C4</t>
        </is>
      </c>
      <c r="C164" s="27" t="inlineStr">
        <is>
          <t>國泰美國多重收益平衡基金(新台幣)-B</t>
        </is>
      </c>
      <c r="D164" s="26" t="n">
        <v>2</v>
      </c>
      <c r="E164" s="26" t="inlineStr"/>
      <c r="F164" s="27" t="inlineStr">
        <is>
          <t>MICROSOFT CORP</t>
        </is>
      </c>
      <c r="G164" s="27" t="inlineStr">
        <is>
          <t>海外/全球股票</t>
        </is>
      </c>
      <c r="H164" s="31" t="n">
        <v>0.0385</v>
      </c>
      <c r="I164" s="27" t="inlineStr">
        <is>
          <t>-</t>
        </is>
      </c>
    </row>
    <row r="165" ht="19" customHeight="1">
      <c r="A165" s="20" t="inlineStr">
        <is>
          <t>共同基金</t>
        </is>
      </c>
      <c r="B165" s="20" t="inlineStr">
        <is>
          <t>C4</t>
        </is>
      </c>
      <c r="C165" s="21" t="inlineStr">
        <is>
          <t>國泰美國多重收益平衡基金(新台幣)-B</t>
        </is>
      </c>
      <c r="D165" s="20" t="n">
        <v>3</v>
      </c>
      <c r="E165" s="20" t="inlineStr"/>
      <c r="F165" s="21" t="inlineStr">
        <is>
          <t>ALPHABET INC-C</t>
        </is>
      </c>
      <c r="G165" s="21" t="inlineStr">
        <is>
          <t>其他產業</t>
        </is>
      </c>
      <c r="H165" s="25" t="n">
        <v>0.0364</v>
      </c>
      <c r="I165" s="21" t="inlineStr">
        <is>
          <t>-</t>
        </is>
      </c>
    </row>
    <row r="166" ht="19" customHeight="1">
      <c r="A166" s="26" t="inlineStr">
        <is>
          <t>共同基金</t>
        </is>
      </c>
      <c r="B166" s="26" t="inlineStr">
        <is>
          <t>C4</t>
        </is>
      </c>
      <c r="C166" s="27" t="inlineStr">
        <is>
          <t>國泰美國多重收益平衡基金(新台幣)-B</t>
        </is>
      </c>
      <c r="D166" s="26" t="n">
        <v>4</v>
      </c>
      <c r="E166" s="26" t="inlineStr"/>
      <c r="F166" s="27" t="inlineStr">
        <is>
          <t>APPLE INC</t>
        </is>
      </c>
      <c r="G166" s="27" t="inlineStr">
        <is>
          <t>海外/全球股票</t>
        </is>
      </c>
      <c r="H166" s="31" t="n">
        <v>0.0337</v>
      </c>
      <c r="I166" s="27" t="inlineStr">
        <is>
          <t>-</t>
        </is>
      </c>
    </row>
    <row r="167" ht="19" customHeight="1">
      <c r="A167" s="20" t="inlineStr">
        <is>
          <t>共同基金</t>
        </is>
      </c>
      <c r="B167" s="20" t="inlineStr">
        <is>
          <t>C4</t>
        </is>
      </c>
      <c r="C167" s="21" t="inlineStr">
        <is>
          <t>國泰美國多重收益平衡基金(新台幣)-B</t>
        </is>
      </c>
      <c r="D167" s="20" t="n">
        <v>5</v>
      </c>
      <c r="E167" s="20" t="inlineStr"/>
      <c r="F167" s="21" t="inlineStr">
        <is>
          <t>Bank of America Corp</t>
        </is>
      </c>
      <c r="G167" s="21" t="inlineStr">
        <is>
          <t>金融保險</t>
        </is>
      </c>
      <c r="H167" s="25" t="n">
        <v>0.0228</v>
      </c>
      <c r="I167" s="21" t="inlineStr">
        <is>
          <t>-</t>
        </is>
      </c>
    </row>
    <row r="168" ht="19" customHeight="1">
      <c r="A168" s="26" t="inlineStr">
        <is>
          <t>共同基金</t>
        </is>
      </c>
      <c r="B168" s="26" t="inlineStr">
        <is>
          <t>C4</t>
        </is>
      </c>
      <c r="C168" s="27" t="inlineStr">
        <is>
          <t>國泰美國多重收益平衡基金(新台幣)-B</t>
        </is>
      </c>
      <c r="D168" s="26" t="n">
        <v>6</v>
      </c>
      <c r="E168" s="26" t="inlineStr"/>
      <c r="F168" s="27" t="inlineStr">
        <is>
          <t>Duke Energy Corp</t>
        </is>
      </c>
      <c r="G168" s="27" t="inlineStr">
        <is>
          <t>其他產業</t>
        </is>
      </c>
      <c r="H168" s="31" t="n">
        <v>0.0225</v>
      </c>
      <c r="I168" s="27" t="inlineStr">
        <is>
          <t>-</t>
        </is>
      </c>
    </row>
    <row r="169" ht="19" customHeight="1">
      <c r="A169" s="20" t="inlineStr">
        <is>
          <t>共同基金</t>
        </is>
      </c>
      <c r="B169" s="20" t="inlineStr">
        <is>
          <t>C4</t>
        </is>
      </c>
      <c r="C169" s="21" t="inlineStr">
        <is>
          <t>國泰美國多重收益平衡基金(新台幣)-B</t>
        </is>
      </c>
      <c r="D169" s="20" t="n">
        <v>7</v>
      </c>
      <c r="E169" s="20" t="inlineStr"/>
      <c r="F169" s="21" t="inlineStr">
        <is>
          <t>CCO Holdings LLC / CCO Holdings Capital Corp</t>
        </is>
      </c>
      <c r="G169" s="21" t="inlineStr">
        <is>
          <t>其他產業</t>
        </is>
      </c>
      <c r="H169" s="25" t="n">
        <v>0.0207</v>
      </c>
      <c r="I169" s="21" t="inlineStr">
        <is>
          <t>-</t>
        </is>
      </c>
    </row>
    <row r="170" ht="19" customHeight="1">
      <c r="A170" s="26" t="inlineStr">
        <is>
          <t>共同基金</t>
        </is>
      </c>
      <c r="B170" s="26" t="inlineStr">
        <is>
          <t>C4</t>
        </is>
      </c>
      <c r="C170" s="27" t="inlineStr">
        <is>
          <t>國泰美國多重收益平衡基金(新台幣)-B</t>
        </is>
      </c>
      <c r="D170" s="26" t="n">
        <v>8</v>
      </c>
      <c r="E170" s="26" t="inlineStr"/>
      <c r="F170" s="27" t="inlineStr">
        <is>
          <t>CCO Holdings LLC / CCO Holdings Capital Corp</t>
        </is>
      </c>
      <c r="G170" s="27" t="inlineStr">
        <is>
          <t>其他產業</t>
        </is>
      </c>
      <c r="H170" s="31" t="n">
        <v>0.0205</v>
      </c>
      <c r="I170" s="27" t="inlineStr">
        <is>
          <t>-</t>
        </is>
      </c>
    </row>
    <row r="171" ht="19" customHeight="1">
      <c r="A171" s="20" t="inlineStr">
        <is>
          <t>共同基金</t>
        </is>
      </c>
      <c r="B171" s="20" t="inlineStr">
        <is>
          <t>C4</t>
        </is>
      </c>
      <c r="C171" s="21" t="inlineStr">
        <is>
          <t>國泰美國多重收益平衡基金(新台幣)-B</t>
        </is>
      </c>
      <c r="D171" s="20" t="n">
        <v>9</v>
      </c>
      <c r="E171" s="20" t="inlineStr"/>
      <c r="F171" s="21" t="inlineStr">
        <is>
          <t>BROADCOM LTD</t>
        </is>
      </c>
      <c r="G171" s="21" t="inlineStr">
        <is>
          <t>海外/全球股票</t>
        </is>
      </c>
      <c r="H171" s="25" t="n">
        <v>0.0191</v>
      </c>
      <c r="I171" s="21" t="inlineStr">
        <is>
          <t>-</t>
        </is>
      </c>
    </row>
    <row r="172" ht="19" customHeight="1">
      <c r="A172" s="26" t="inlineStr">
        <is>
          <t>共同基金</t>
        </is>
      </c>
      <c r="B172" s="26" t="inlineStr">
        <is>
          <t>C4</t>
        </is>
      </c>
      <c r="C172" s="27" t="inlineStr">
        <is>
          <t>國泰美國多重收益平衡基金(新台幣)-B</t>
        </is>
      </c>
      <c r="D172" s="26" t="n">
        <v>10</v>
      </c>
      <c r="E172" s="26" t="inlineStr"/>
      <c r="F172" s="27" t="inlineStr">
        <is>
          <t>MICRON TECH</t>
        </is>
      </c>
      <c r="G172" s="27" t="inlineStr">
        <is>
          <t>海外/全球股票</t>
        </is>
      </c>
      <c r="H172" s="31" t="n">
        <v>0.0178</v>
      </c>
      <c r="I172" s="27" t="inlineStr">
        <is>
          <t>-</t>
        </is>
      </c>
    </row>
    <row r="173" ht="19" customHeight="1">
      <c r="A173" s="20" t="inlineStr">
        <is>
          <t>共同基金</t>
        </is>
      </c>
      <c r="B173" s="20" t="inlineStr">
        <is>
          <t>AO</t>
        </is>
      </c>
      <c r="C173" s="21" t="inlineStr">
        <is>
          <t>國泰主順位資產抵押非投資等級債券基金(新台幣)-B</t>
        </is>
      </c>
      <c r="D173" s="20" t="n">
        <v>1</v>
      </c>
      <c r="E173" s="20" t="inlineStr"/>
      <c r="F173" s="21" t="inlineStr">
        <is>
          <t>MIDWEST GMNG BOR/MWG FIN</t>
        </is>
      </c>
      <c r="G173" s="21" t="inlineStr">
        <is>
          <t>其他產業</t>
        </is>
      </c>
      <c r="H173" s="25" t="n">
        <v>0.0117</v>
      </c>
      <c r="I173" s="21" t="inlineStr">
        <is>
          <t>-</t>
        </is>
      </c>
    </row>
    <row r="174" ht="19" customHeight="1">
      <c r="A174" s="26" t="inlineStr">
        <is>
          <t>共同基金</t>
        </is>
      </c>
      <c r="B174" s="26" t="inlineStr">
        <is>
          <t>AO</t>
        </is>
      </c>
      <c r="C174" s="27" t="inlineStr">
        <is>
          <t>國泰主順位資產抵押非投資等級債券基金(新台幣)-B</t>
        </is>
      </c>
      <c r="D174" s="26" t="n">
        <v>2</v>
      </c>
      <c r="E174" s="26" t="inlineStr"/>
      <c r="F174" s="27" t="inlineStr">
        <is>
          <t>國泰台灣貨幣市場基金</t>
        </is>
      </c>
      <c r="G174" s="27" t="inlineStr">
        <is>
          <t>其他產業</t>
        </is>
      </c>
      <c r="H174" s="31" t="n">
        <v>0.0111</v>
      </c>
      <c r="I174" s="27" t="inlineStr">
        <is>
          <t>-</t>
        </is>
      </c>
    </row>
    <row r="175" ht="19" customHeight="1">
      <c r="A175" s="20" t="inlineStr">
        <is>
          <t>共同基金</t>
        </is>
      </c>
      <c r="B175" s="20" t="inlineStr">
        <is>
          <t>AO</t>
        </is>
      </c>
      <c r="C175" s="21" t="inlineStr">
        <is>
          <t>國泰主順位資產抵押非投資等級債券基金(新台幣)-B</t>
        </is>
      </c>
      <c r="D175" s="20" t="n">
        <v>3</v>
      </c>
      <c r="E175" s="20" t="inlineStr"/>
      <c r="F175" s="21" t="inlineStr">
        <is>
          <t>WINDSTREAM SERVICES/ESCR</t>
        </is>
      </c>
      <c r="G175" s="21" t="inlineStr">
        <is>
          <t>其他產業</t>
        </is>
      </c>
      <c r="H175" s="25" t="n">
        <v>0.0106</v>
      </c>
      <c r="I175" s="21" t="inlineStr">
        <is>
          <t>-</t>
        </is>
      </c>
    </row>
    <row r="176" ht="19" customHeight="1">
      <c r="A176" s="26" t="inlineStr">
        <is>
          <t>共同基金</t>
        </is>
      </c>
      <c r="B176" s="26" t="inlineStr">
        <is>
          <t>AO</t>
        </is>
      </c>
      <c r="C176" s="27" t="inlineStr">
        <is>
          <t>國泰主順位資產抵押非投資等級債券基金(新台幣)-B</t>
        </is>
      </c>
      <c r="D176" s="26" t="n">
        <v>4</v>
      </c>
      <c r="E176" s="26" t="inlineStr"/>
      <c r="F176" s="27" t="inlineStr">
        <is>
          <t>ADT SEC CORP</t>
        </is>
      </c>
      <c r="G176" s="27" t="inlineStr">
        <is>
          <t>其他產業</t>
        </is>
      </c>
      <c r="H176" s="31" t="n">
        <v>0.0104</v>
      </c>
      <c r="I176" s="27" t="inlineStr">
        <is>
          <t>-</t>
        </is>
      </c>
    </row>
    <row r="177" ht="19" customHeight="1">
      <c r="A177" s="20" t="inlineStr">
        <is>
          <t>共同基金</t>
        </is>
      </c>
      <c r="B177" s="20" t="inlineStr">
        <is>
          <t>AO</t>
        </is>
      </c>
      <c r="C177" s="21" t="inlineStr">
        <is>
          <t>國泰主順位資產抵押非投資等級債券基金(新台幣)-B</t>
        </is>
      </c>
      <c r="D177" s="20" t="n">
        <v>5</v>
      </c>
      <c r="E177" s="20" t="inlineStr"/>
      <c r="F177" s="21" t="inlineStr">
        <is>
          <t>PLT VII FINANCE SARL</t>
        </is>
      </c>
      <c r="G177" s="21" t="inlineStr">
        <is>
          <t>其他產業</t>
        </is>
      </c>
      <c r="H177" s="25" t="n">
        <v>0.01</v>
      </c>
      <c r="I177" s="21" t="inlineStr">
        <is>
          <t>-</t>
        </is>
      </c>
    </row>
    <row r="178" ht="19" customHeight="1">
      <c r="A178" s="26" t="inlineStr">
        <is>
          <t>共同基金</t>
        </is>
      </c>
      <c r="B178" s="26" t="inlineStr">
        <is>
          <t>AO</t>
        </is>
      </c>
      <c r="C178" s="27" t="inlineStr">
        <is>
          <t>國泰主順位資產抵押非投資等級債券基金(新台幣)-B</t>
        </is>
      </c>
      <c r="D178" s="26" t="n">
        <v>6</v>
      </c>
      <c r="E178" s="26" t="inlineStr"/>
      <c r="F178" s="27" t="inlineStr">
        <is>
          <t>CQP HOLDCO LP/BIP-V CHIN</t>
        </is>
      </c>
      <c r="G178" s="27" t="inlineStr">
        <is>
          <t>其他產業</t>
        </is>
      </c>
      <c r="H178" s="31" t="n">
        <v>0.0097</v>
      </c>
      <c r="I178" s="27" t="inlineStr">
        <is>
          <t>-</t>
        </is>
      </c>
    </row>
    <row r="179" ht="19" customHeight="1">
      <c r="A179" s="20" t="inlineStr">
        <is>
          <t>共同基金</t>
        </is>
      </c>
      <c r="B179" s="20" t="inlineStr">
        <is>
          <t>AO</t>
        </is>
      </c>
      <c r="C179" s="21" t="inlineStr">
        <is>
          <t>國泰主順位資產抵押非投資等級債券基金(新台幣)-B</t>
        </is>
      </c>
      <c r="D179" s="20" t="n">
        <v>7</v>
      </c>
      <c r="E179" s="20" t="inlineStr"/>
      <c r="F179" s="21" t="inlineStr">
        <is>
          <t>RADIOLOGY PARTNERS INC</t>
        </is>
      </c>
      <c r="G179" s="21" t="inlineStr">
        <is>
          <t>其他產業</t>
        </is>
      </c>
      <c r="H179" s="25" t="n">
        <v>0.0095</v>
      </c>
      <c r="I179" s="21" t="inlineStr">
        <is>
          <t>-</t>
        </is>
      </c>
    </row>
    <row r="180" ht="19" customHeight="1">
      <c r="A180" s="26" t="inlineStr">
        <is>
          <t>共同基金</t>
        </is>
      </c>
      <c r="B180" s="26" t="inlineStr">
        <is>
          <t>AO</t>
        </is>
      </c>
      <c r="C180" s="27" t="inlineStr">
        <is>
          <t>國泰主順位資產抵押非投資等級債券基金(新台幣)-B</t>
        </is>
      </c>
      <c r="D180" s="26" t="n">
        <v>8</v>
      </c>
      <c r="E180" s="26" t="inlineStr"/>
      <c r="F180" s="27" t="inlineStr">
        <is>
          <t>1261229 BC LTD</t>
        </is>
      </c>
      <c r="G180" s="27" t="inlineStr">
        <is>
          <t>其他產業</t>
        </is>
      </c>
      <c r="H180" s="31" t="n">
        <v>0.009399999999999999</v>
      </c>
      <c r="I180" s="27" t="inlineStr">
        <is>
          <t>-</t>
        </is>
      </c>
    </row>
    <row r="181" ht="19" customHeight="1">
      <c r="A181" s="20" t="inlineStr">
        <is>
          <t>共同基金</t>
        </is>
      </c>
      <c r="B181" s="20" t="inlineStr">
        <is>
          <t>AO</t>
        </is>
      </c>
      <c r="C181" s="21" t="inlineStr">
        <is>
          <t>國泰主順位資產抵押非投資等級債券基金(新台幣)-B</t>
        </is>
      </c>
      <c r="D181" s="20" t="n">
        <v>9</v>
      </c>
      <c r="E181" s="20" t="inlineStr"/>
      <c r="F181" s="21" t="inlineStr">
        <is>
          <t>LUNA 2 5SARL</t>
        </is>
      </c>
      <c r="G181" s="21" t="inlineStr">
        <is>
          <t>其他產業</t>
        </is>
      </c>
      <c r="H181" s="25" t="n">
        <v>0.0086</v>
      </c>
      <c r="I181" s="21" t="inlineStr">
        <is>
          <t>-</t>
        </is>
      </c>
    </row>
    <row r="182" ht="19" customHeight="1">
      <c r="A182" s="26" t="inlineStr">
        <is>
          <t>共同基金</t>
        </is>
      </c>
      <c r="B182" s="26" t="inlineStr">
        <is>
          <t>AO</t>
        </is>
      </c>
      <c r="C182" s="27" t="inlineStr">
        <is>
          <t>國泰主順位資產抵押非投資等級債券基金(新台幣)-B</t>
        </is>
      </c>
      <c r="D182" s="26" t="n">
        <v>10</v>
      </c>
      <c r="E182" s="26" t="inlineStr"/>
      <c r="F182" s="27" t="inlineStr">
        <is>
          <t>PARAMOUNT SKYDANCE CORP</t>
        </is>
      </c>
      <c r="G182" s="27" t="inlineStr">
        <is>
          <t>其他產業</t>
        </is>
      </c>
      <c r="H182" s="31" t="n">
        <v>0.008500000000000001</v>
      </c>
      <c r="I182" s="27" t="inlineStr">
        <is>
          <t>-</t>
        </is>
      </c>
    </row>
    <row r="183" ht="19" customHeight="1">
      <c r="A183" s="20" t="inlineStr">
        <is>
          <t>共同基金</t>
        </is>
      </c>
      <c r="B183" s="20" t="inlineStr">
        <is>
          <t>DH</t>
        </is>
      </c>
      <c r="C183" s="21" t="inlineStr">
        <is>
          <t>國泰美國優質債券基金(新台幣)-B</t>
        </is>
      </c>
      <c r="D183" s="20" t="n">
        <v>1</v>
      </c>
      <c r="E183" s="20" t="inlineStr"/>
      <c r="F183" s="21" t="inlineStr">
        <is>
          <t>United States Treasury Note/Bond</t>
        </is>
      </c>
      <c r="G183" s="21" t="inlineStr">
        <is>
          <t>債券/固定收益</t>
        </is>
      </c>
      <c r="H183" s="25" t="n">
        <v>0.0194</v>
      </c>
      <c r="I183" s="21" t="inlineStr">
        <is>
          <t>-</t>
        </is>
      </c>
    </row>
    <row r="184" ht="19" customHeight="1">
      <c r="A184" s="26" t="inlineStr">
        <is>
          <t>共同基金</t>
        </is>
      </c>
      <c r="B184" s="26" t="inlineStr">
        <is>
          <t>DH</t>
        </is>
      </c>
      <c r="C184" s="27" t="inlineStr">
        <is>
          <t>國泰美國優質債券基金(新台幣)-B</t>
        </is>
      </c>
      <c r="D184" s="26" t="n">
        <v>2</v>
      </c>
      <c r="E184" s="26" t="inlineStr"/>
      <c r="F184" s="27" t="inlineStr">
        <is>
          <t>Black Hills Corp</t>
        </is>
      </c>
      <c r="G184" s="27" t="inlineStr">
        <is>
          <t>其他產業</t>
        </is>
      </c>
      <c r="H184" s="31" t="n">
        <v>0.0187</v>
      </c>
      <c r="I184" s="27" t="inlineStr">
        <is>
          <t>-</t>
        </is>
      </c>
    </row>
    <row r="185" ht="19" customHeight="1">
      <c r="A185" s="20" t="inlineStr">
        <is>
          <t>共同基金</t>
        </is>
      </c>
      <c r="B185" s="20" t="inlineStr">
        <is>
          <t>DH</t>
        </is>
      </c>
      <c r="C185" s="21" t="inlineStr">
        <is>
          <t>國泰美國優質債券基金(新台幣)-B</t>
        </is>
      </c>
      <c r="D185" s="20" t="n">
        <v>3</v>
      </c>
      <c r="E185" s="20" t="inlineStr"/>
      <c r="F185" s="21" t="inlineStr">
        <is>
          <t>United States Treasury Note/Bond</t>
        </is>
      </c>
      <c r="G185" s="21" t="inlineStr">
        <is>
          <t>債券/固定收益</t>
        </is>
      </c>
      <c r="H185" s="25" t="n">
        <v>0.0161</v>
      </c>
      <c r="I185" s="21" t="inlineStr">
        <is>
          <t>-</t>
        </is>
      </c>
    </row>
    <row r="186" ht="19" customHeight="1">
      <c r="A186" s="26" t="inlineStr">
        <is>
          <t>共同基金</t>
        </is>
      </c>
      <c r="B186" s="26" t="inlineStr">
        <is>
          <t>DH</t>
        </is>
      </c>
      <c r="C186" s="27" t="inlineStr">
        <is>
          <t>國泰美國優質債券基金(新台幣)-B</t>
        </is>
      </c>
      <c r="D186" s="26" t="n">
        <v>4</v>
      </c>
      <c r="E186" s="26" t="inlineStr"/>
      <c r="F186" s="27" t="inlineStr">
        <is>
          <t>Bank of New York Mellon Corp/The</t>
        </is>
      </c>
      <c r="G186" s="27" t="inlineStr">
        <is>
          <t>其他產業</t>
        </is>
      </c>
      <c r="H186" s="31" t="n">
        <v>0.0154</v>
      </c>
      <c r="I186" s="27" t="inlineStr">
        <is>
          <t>-</t>
        </is>
      </c>
    </row>
    <row r="187" ht="19" customHeight="1">
      <c r="A187" s="20" t="inlineStr">
        <is>
          <t>共同基金</t>
        </is>
      </c>
      <c r="B187" s="20" t="inlineStr">
        <is>
          <t>DH</t>
        </is>
      </c>
      <c r="C187" s="21" t="inlineStr">
        <is>
          <t>國泰美國優質債券基金(新台幣)-B</t>
        </is>
      </c>
      <c r="D187" s="20" t="n">
        <v>5</v>
      </c>
      <c r="E187" s="20" t="inlineStr"/>
      <c r="F187" s="21" t="inlineStr">
        <is>
          <t>United States Treasury Note/Bond</t>
        </is>
      </c>
      <c r="G187" s="21" t="inlineStr">
        <is>
          <t>債券/固定收益</t>
        </is>
      </c>
      <c r="H187" s="25" t="n">
        <v>0.0151</v>
      </c>
      <c r="I187" s="21" t="inlineStr">
        <is>
          <t>-</t>
        </is>
      </c>
    </row>
    <row r="188" ht="19" customHeight="1">
      <c r="A188" s="26" t="inlineStr">
        <is>
          <t>共同基金</t>
        </is>
      </c>
      <c r="B188" s="26" t="inlineStr">
        <is>
          <t>DH</t>
        </is>
      </c>
      <c r="C188" s="27" t="inlineStr">
        <is>
          <t>國泰美國優質債券基金(新台幣)-B</t>
        </is>
      </c>
      <c r="D188" s="26" t="n">
        <v>6</v>
      </c>
      <c r="E188" s="26" t="inlineStr"/>
      <c r="F188" s="27" t="inlineStr">
        <is>
          <t>Bank of America Corp</t>
        </is>
      </c>
      <c r="G188" s="27" t="inlineStr">
        <is>
          <t>其他產業</t>
        </is>
      </c>
      <c r="H188" s="31" t="n">
        <v>0.0141</v>
      </c>
      <c r="I188" s="27" t="inlineStr">
        <is>
          <t>-</t>
        </is>
      </c>
    </row>
    <row r="189" ht="19" customHeight="1">
      <c r="A189" s="20" t="inlineStr">
        <is>
          <t>共同基金</t>
        </is>
      </c>
      <c r="B189" s="20" t="inlineStr">
        <is>
          <t>DH</t>
        </is>
      </c>
      <c r="C189" s="21" t="inlineStr">
        <is>
          <t>國泰美國優質債券基金(新台幣)-B</t>
        </is>
      </c>
      <c r="D189" s="20" t="n">
        <v>7</v>
      </c>
      <c r="E189" s="20" t="inlineStr"/>
      <c r="F189" s="21" t="inlineStr">
        <is>
          <t>United States Treasury Note/Bond</t>
        </is>
      </c>
      <c r="G189" s="21" t="inlineStr">
        <is>
          <t>債券/固定收益</t>
        </is>
      </c>
      <c r="H189" s="25" t="n">
        <v>0.0133</v>
      </c>
      <c r="I189" s="21" t="inlineStr">
        <is>
          <t>-</t>
        </is>
      </c>
    </row>
    <row r="190" ht="19" customHeight="1">
      <c r="A190" s="26" t="inlineStr">
        <is>
          <t>共同基金</t>
        </is>
      </c>
      <c r="B190" s="26" t="inlineStr">
        <is>
          <t>DH</t>
        </is>
      </c>
      <c r="C190" s="27" t="inlineStr">
        <is>
          <t>國泰美國優質債券基金(新台幣)-B</t>
        </is>
      </c>
      <c r="D190" s="26" t="n">
        <v>8</v>
      </c>
      <c r="E190" s="26" t="inlineStr"/>
      <c r="F190" s="27" t="inlineStr">
        <is>
          <t>IBM International Capital Pte Ltd</t>
        </is>
      </c>
      <c r="G190" s="27" t="inlineStr">
        <is>
          <t>其他產業</t>
        </is>
      </c>
      <c r="H190" s="31" t="n">
        <v>0.0133</v>
      </c>
      <c r="I190" s="27" t="inlineStr">
        <is>
          <t>-</t>
        </is>
      </c>
    </row>
    <row r="191" ht="19" customHeight="1">
      <c r="A191" s="20" t="inlineStr">
        <is>
          <t>共同基金</t>
        </is>
      </c>
      <c r="B191" s="20" t="inlineStr">
        <is>
          <t>DH</t>
        </is>
      </c>
      <c r="C191" s="21" t="inlineStr">
        <is>
          <t>國泰美國優質債券基金(新台幣)-B</t>
        </is>
      </c>
      <c r="D191" s="20" t="n">
        <v>9</v>
      </c>
      <c r="E191" s="20" t="inlineStr"/>
      <c r="F191" s="21" t="inlineStr">
        <is>
          <t>Waste Management Inc</t>
        </is>
      </c>
      <c r="G191" s="21" t="inlineStr">
        <is>
          <t>其他產業</t>
        </is>
      </c>
      <c r="H191" s="25" t="n">
        <v>0.0133</v>
      </c>
      <c r="I191" s="21" t="inlineStr">
        <is>
          <t>-</t>
        </is>
      </c>
    </row>
    <row r="192" ht="19" customHeight="1">
      <c r="A192" s="26" t="inlineStr">
        <is>
          <t>共同基金</t>
        </is>
      </c>
      <c r="B192" s="26" t="inlineStr">
        <is>
          <t>DH</t>
        </is>
      </c>
      <c r="C192" s="27" t="inlineStr">
        <is>
          <t>國泰美國優質債券基金(新台幣)-B</t>
        </is>
      </c>
      <c r="D192" s="26" t="n">
        <v>10</v>
      </c>
      <c r="E192" s="26" t="inlineStr"/>
      <c r="F192" s="27" t="inlineStr">
        <is>
          <t>Charter Communications Operating LLC / Charter Communications Operating Capital</t>
        </is>
      </c>
      <c r="G192" s="27" t="inlineStr">
        <is>
          <t>其他產業</t>
        </is>
      </c>
      <c r="H192" s="31" t="n">
        <v>0.0127</v>
      </c>
      <c r="I192" s="27" t="inlineStr">
        <is>
          <t>-</t>
        </is>
      </c>
    </row>
    <row r="193" ht="19" customHeight="1">
      <c r="A193" s="20" t="inlineStr">
        <is>
          <t>共同基金</t>
        </is>
      </c>
      <c r="B193" s="20" t="inlineStr">
        <is>
          <t>C5</t>
        </is>
      </c>
      <c r="C193" s="21" t="inlineStr">
        <is>
          <t>國泰美國多重收益平衡基金(新台幣)-NB</t>
        </is>
      </c>
      <c r="D193" s="20" t="n">
        <v>1</v>
      </c>
      <c r="E193" s="20" t="inlineStr"/>
      <c r="F193" s="21" t="inlineStr">
        <is>
          <t>NVIDIA CORP</t>
        </is>
      </c>
      <c r="G193" s="21" t="inlineStr">
        <is>
          <t>海外/全球股票</t>
        </is>
      </c>
      <c r="H193" s="25" t="n">
        <v>0.0408</v>
      </c>
      <c r="I193" s="21" t="inlineStr">
        <is>
          <t>-</t>
        </is>
      </c>
    </row>
    <row r="194" ht="19" customHeight="1">
      <c r="A194" s="26" t="inlineStr">
        <is>
          <t>共同基金</t>
        </is>
      </c>
      <c r="B194" s="26" t="inlineStr">
        <is>
          <t>C5</t>
        </is>
      </c>
      <c r="C194" s="27" t="inlineStr">
        <is>
          <t>國泰美國多重收益平衡基金(新台幣)-NB</t>
        </is>
      </c>
      <c r="D194" s="26" t="n">
        <v>2</v>
      </c>
      <c r="E194" s="26" t="inlineStr"/>
      <c r="F194" s="27" t="inlineStr">
        <is>
          <t>MICROSOFT CORP</t>
        </is>
      </c>
      <c r="G194" s="27" t="inlineStr">
        <is>
          <t>海外/全球股票</t>
        </is>
      </c>
      <c r="H194" s="31" t="n">
        <v>0.0385</v>
      </c>
      <c r="I194" s="27" t="inlineStr">
        <is>
          <t>-</t>
        </is>
      </c>
    </row>
    <row r="195" ht="19" customHeight="1">
      <c r="A195" s="20" t="inlineStr">
        <is>
          <t>共同基金</t>
        </is>
      </c>
      <c r="B195" s="20" t="inlineStr">
        <is>
          <t>C5</t>
        </is>
      </c>
      <c r="C195" s="21" t="inlineStr">
        <is>
          <t>國泰美國多重收益平衡基金(新台幣)-NB</t>
        </is>
      </c>
      <c r="D195" s="20" t="n">
        <v>3</v>
      </c>
      <c r="E195" s="20" t="inlineStr"/>
      <c r="F195" s="21" t="inlineStr">
        <is>
          <t>ALPHABET INC-C</t>
        </is>
      </c>
      <c r="G195" s="21" t="inlineStr">
        <is>
          <t>其他產業</t>
        </is>
      </c>
      <c r="H195" s="25" t="n">
        <v>0.0364</v>
      </c>
      <c r="I195" s="21" t="inlineStr">
        <is>
          <t>-</t>
        </is>
      </c>
    </row>
    <row r="196" ht="19" customHeight="1">
      <c r="A196" s="26" t="inlineStr">
        <is>
          <t>共同基金</t>
        </is>
      </c>
      <c r="B196" s="26" t="inlineStr">
        <is>
          <t>C5</t>
        </is>
      </c>
      <c r="C196" s="27" t="inlineStr">
        <is>
          <t>國泰美國多重收益平衡基金(新台幣)-NB</t>
        </is>
      </c>
      <c r="D196" s="26" t="n">
        <v>4</v>
      </c>
      <c r="E196" s="26" t="inlineStr"/>
      <c r="F196" s="27" t="inlineStr">
        <is>
          <t>APPLE INC</t>
        </is>
      </c>
      <c r="G196" s="27" t="inlineStr">
        <is>
          <t>海外/全球股票</t>
        </is>
      </c>
      <c r="H196" s="31" t="n">
        <v>0.0337</v>
      </c>
      <c r="I196" s="27" t="inlineStr">
        <is>
          <t>-</t>
        </is>
      </c>
    </row>
    <row r="197" ht="19" customHeight="1">
      <c r="A197" s="20" t="inlineStr">
        <is>
          <t>共同基金</t>
        </is>
      </c>
      <c r="B197" s="20" t="inlineStr">
        <is>
          <t>C5</t>
        </is>
      </c>
      <c r="C197" s="21" t="inlineStr">
        <is>
          <t>國泰美國多重收益平衡基金(新台幣)-NB</t>
        </is>
      </c>
      <c r="D197" s="20" t="n">
        <v>5</v>
      </c>
      <c r="E197" s="20" t="inlineStr"/>
      <c r="F197" s="21" t="inlineStr">
        <is>
          <t>Bank of America Corp</t>
        </is>
      </c>
      <c r="G197" s="21" t="inlineStr">
        <is>
          <t>金融保險</t>
        </is>
      </c>
      <c r="H197" s="25" t="n">
        <v>0.0228</v>
      </c>
      <c r="I197" s="21" t="inlineStr">
        <is>
          <t>-</t>
        </is>
      </c>
    </row>
    <row r="198" ht="19" customHeight="1">
      <c r="A198" s="26" t="inlineStr">
        <is>
          <t>共同基金</t>
        </is>
      </c>
      <c r="B198" s="26" t="inlineStr">
        <is>
          <t>C5</t>
        </is>
      </c>
      <c r="C198" s="27" t="inlineStr">
        <is>
          <t>國泰美國多重收益平衡基金(新台幣)-NB</t>
        </is>
      </c>
      <c r="D198" s="26" t="n">
        <v>6</v>
      </c>
      <c r="E198" s="26" t="inlineStr"/>
      <c r="F198" s="27" t="inlineStr">
        <is>
          <t>Duke Energy Corp</t>
        </is>
      </c>
      <c r="G198" s="27" t="inlineStr">
        <is>
          <t>其他產業</t>
        </is>
      </c>
      <c r="H198" s="31" t="n">
        <v>0.0225</v>
      </c>
      <c r="I198" s="27" t="inlineStr">
        <is>
          <t>-</t>
        </is>
      </c>
    </row>
    <row r="199" ht="19" customHeight="1">
      <c r="A199" s="20" t="inlineStr">
        <is>
          <t>共同基金</t>
        </is>
      </c>
      <c r="B199" s="20" t="inlineStr">
        <is>
          <t>C5</t>
        </is>
      </c>
      <c r="C199" s="21" t="inlineStr">
        <is>
          <t>國泰美國多重收益平衡基金(新台幣)-NB</t>
        </is>
      </c>
      <c r="D199" s="20" t="n">
        <v>7</v>
      </c>
      <c r="E199" s="20" t="inlineStr"/>
      <c r="F199" s="21" t="inlineStr">
        <is>
          <t>CCO Holdings LLC / CCO Holdings Capital Corp</t>
        </is>
      </c>
      <c r="G199" s="21" t="inlineStr">
        <is>
          <t>其他產業</t>
        </is>
      </c>
      <c r="H199" s="25" t="n">
        <v>0.0207</v>
      </c>
      <c r="I199" s="21" t="inlineStr">
        <is>
          <t>-</t>
        </is>
      </c>
    </row>
    <row r="200" ht="19" customHeight="1">
      <c r="A200" s="26" t="inlineStr">
        <is>
          <t>共同基金</t>
        </is>
      </c>
      <c r="B200" s="26" t="inlineStr">
        <is>
          <t>C5</t>
        </is>
      </c>
      <c r="C200" s="27" t="inlineStr">
        <is>
          <t>國泰美國多重收益平衡基金(新台幣)-NB</t>
        </is>
      </c>
      <c r="D200" s="26" t="n">
        <v>8</v>
      </c>
      <c r="E200" s="26" t="inlineStr"/>
      <c r="F200" s="27" t="inlineStr">
        <is>
          <t>CCO Holdings LLC / CCO Holdings Capital Corp</t>
        </is>
      </c>
      <c r="G200" s="27" t="inlineStr">
        <is>
          <t>其他產業</t>
        </is>
      </c>
      <c r="H200" s="31" t="n">
        <v>0.0205</v>
      </c>
      <c r="I200" s="27" t="inlineStr">
        <is>
          <t>-</t>
        </is>
      </c>
    </row>
    <row r="201" ht="19" customHeight="1">
      <c r="A201" s="20" t="inlineStr">
        <is>
          <t>共同基金</t>
        </is>
      </c>
      <c r="B201" s="20" t="inlineStr">
        <is>
          <t>C5</t>
        </is>
      </c>
      <c r="C201" s="21" t="inlineStr">
        <is>
          <t>國泰美國多重收益平衡基金(新台幣)-NB</t>
        </is>
      </c>
      <c r="D201" s="20" t="n">
        <v>9</v>
      </c>
      <c r="E201" s="20" t="inlineStr"/>
      <c r="F201" s="21" t="inlineStr">
        <is>
          <t>BROADCOM LTD</t>
        </is>
      </c>
      <c r="G201" s="21" t="inlineStr">
        <is>
          <t>海外/全球股票</t>
        </is>
      </c>
      <c r="H201" s="25" t="n">
        <v>0.0191</v>
      </c>
      <c r="I201" s="21" t="inlineStr">
        <is>
          <t>-</t>
        </is>
      </c>
    </row>
    <row r="202" ht="19" customHeight="1">
      <c r="A202" s="26" t="inlineStr">
        <is>
          <t>共同基金</t>
        </is>
      </c>
      <c r="B202" s="26" t="inlineStr">
        <is>
          <t>C5</t>
        </is>
      </c>
      <c r="C202" s="27" t="inlineStr">
        <is>
          <t>國泰美國多重收益平衡基金(新台幣)-NB</t>
        </is>
      </c>
      <c r="D202" s="26" t="n">
        <v>10</v>
      </c>
      <c r="E202" s="26" t="inlineStr"/>
      <c r="F202" s="27" t="inlineStr">
        <is>
          <t>MICRON TECH</t>
        </is>
      </c>
      <c r="G202" s="27" t="inlineStr">
        <is>
          <t>海外/全球股票</t>
        </is>
      </c>
      <c r="H202" s="31" t="n">
        <v>0.0178</v>
      </c>
      <c r="I202" s="27" t="inlineStr">
        <is>
          <t>-</t>
        </is>
      </c>
    </row>
    <row r="203" ht="19" customHeight="1">
      <c r="A203" s="20" t="inlineStr">
        <is>
          <t>共同基金</t>
        </is>
      </c>
      <c r="B203" s="20" t="inlineStr">
        <is>
          <t>DW</t>
        </is>
      </c>
      <c r="C203" s="21" t="inlineStr">
        <is>
          <t>國泰美國優質債券基金(新台幣)-NB</t>
        </is>
      </c>
      <c r="D203" s="20" t="n">
        <v>1</v>
      </c>
      <c r="E203" s="20" t="inlineStr"/>
      <c r="F203" s="21" t="inlineStr">
        <is>
          <t>United States Treasury Note/Bond</t>
        </is>
      </c>
      <c r="G203" s="21" t="inlineStr">
        <is>
          <t>債券/固定收益</t>
        </is>
      </c>
      <c r="H203" s="25" t="n">
        <v>0.0194</v>
      </c>
      <c r="I203" s="21" t="inlineStr">
        <is>
          <t>-</t>
        </is>
      </c>
    </row>
    <row r="204" ht="19" customHeight="1">
      <c r="A204" s="26" t="inlineStr">
        <is>
          <t>共同基金</t>
        </is>
      </c>
      <c r="B204" s="26" t="inlineStr">
        <is>
          <t>DW</t>
        </is>
      </c>
      <c r="C204" s="27" t="inlineStr">
        <is>
          <t>國泰美國優質債券基金(新台幣)-NB</t>
        </is>
      </c>
      <c r="D204" s="26" t="n">
        <v>2</v>
      </c>
      <c r="E204" s="26" t="inlineStr"/>
      <c r="F204" s="27" t="inlineStr">
        <is>
          <t>Black Hills Corp</t>
        </is>
      </c>
      <c r="G204" s="27" t="inlineStr">
        <is>
          <t>其他產業</t>
        </is>
      </c>
      <c r="H204" s="31" t="n">
        <v>0.0187</v>
      </c>
      <c r="I204" s="27" t="inlineStr">
        <is>
          <t>-</t>
        </is>
      </c>
    </row>
    <row r="205" ht="19" customHeight="1">
      <c r="A205" s="20" t="inlineStr">
        <is>
          <t>共同基金</t>
        </is>
      </c>
      <c r="B205" s="20" t="inlineStr">
        <is>
          <t>DW</t>
        </is>
      </c>
      <c r="C205" s="21" t="inlineStr">
        <is>
          <t>國泰美國優質債券基金(新台幣)-NB</t>
        </is>
      </c>
      <c r="D205" s="20" t="n">
        <v>3</v>
      </c>
      <c r="E205" s="20" t="inlineStr"/>
      <c r="F205" s="21" t="inlineStr">
        <is>
          <t>United States Treasury Note/Bond</t>
        </is>
      </c>
      <c r="G205" s="21" t="inlineStr">
        <is>
          <t>債券/固定收益</t>
        </is>
      </c>
      <c r="H205" s="25" t="n">
        <v>0.0161</v>
      </c>
      <c r="I205" s="21" t="inlineStr">
        <is>
          <t>-</t>
        </is>
      </c>
    </row>
    <row r="206" ht="19" customHeight="1">
      <c r="A206" s="26" t="inlineStr">
        <is>
          <t>共同基金</t>
        </is>
      </c>
      <c r="B206" s="26" t="inlineStr">
        <is>
          <t>DW</t>
        </is>
      </c>
      <c r="C206" s="27" t="inlineStr">
        <is>
          <t>國泰美國優質債券基金(新台幣)-NB</t>
        </is>
      </c>
      <c r="D206" s="26" t="n">
        <v>4</v>
      </c>
      <c r="E206" s="26" t="inlineStr"/>
      <c r="F206" s="27" t="inlineStr">
        <is>
          <t>Bank of New York Mellon Corp/The</t>
        </is>
      </c>
      <c r="G206" s="27" t="inlineStr">
        <is>
          <t>其他產業</t>
        </is>
      </c>
      <c r="H206" s="31" t="n">
        <v>0.0154</v>
      </c>
      <c r="I206" s="27" t="inlineStr">
        <is>
          <t>-</t>
        </is>
      </c>
    </row>
    <row r="207" ht="19" customHeight="1">
      <c r="A207" s="20" t="inlineStr">
        <is>
          <t>共同基金</t>
        </is>
      </c>
      <c r="B207" s="20" t="inlineStr">
        <is>
          <t>DW</t>
        </is>
      </c>
      <c r="C207" s="21" t="inlineStr">
        <is>
          <t>國泰美國優質債券基金(新台幣)-NB</t>
        </is>
      </c>
      <c r="D207" s="20" t="n">
        <v>5</v>
      </c>
      <c r="E207" s="20" t="inlineStr"/>
      <c r="F207" s="21" t="inlineStr">
        <is>
          <t>United States Treasury Note/Bond</t>
        </is>
      </c>
      <c r="G207" s="21" t="inlineStr">
        <is>
          <t>債券/固定收益</t>
        </is>
      </c>
      <c r="H207" s="25" t="n">
        <v>0.0151</v>
      </c>
      <c r="I207" s="21" t="inlineStr">
        <is>
          <t>-</t>
        </is>
      </c>
    </row>
    <row r="208" ht="19" customHeight="1">
      <c r="A208" s="26" t="inlineStr">
        <is>
          <t>共同基金</t>
        </is>
      </c>
      <c r="B208" s="26" t="inlineStr">
        <is>
          <t>DW</t>
        </is>
      </c>
      <c r="C208" s="27" t="inlineStr">
        <is>
          <t>國泰美國優質債券基金(新台幣)-NB</t>
        </is>
      </c>
      <c r="D208" s="26" t="n">
        <v>6</v>
      </c>
      <c r="E208" s="26" t="inlineStr"/>
      <c r="F208" s="27" t="inlineStr">
        <is>
          <t>Bank of America Corp</t>
        </is>
      </c>
      <c r="G208" s="27" t="inlineStr">
        <is>
          <t>其他產業</t>
        </is>
      </c>
      <c r="H208" s="31" t="n">
        <v>0.0141</v>
      </c>
      <c r="I208" s="27" t="inlineStr">
        <is>
          <t>-</t>
        </is>
      </c>
    </row>
    <row r="209" ht="19" customHeight="1">
      <c r="A209" s="20" t="inlineStr">
        <is>
          <t>共同基金</t>
        </is>
      </c>
      <c r="B209" s="20" t="inlineStr">
        <is>
          <t>DW</t>
        </is>
      </c>
      <c r="C209" s="21" t="inlineStr">
        <is>
          <t>國泰美國優質債券基金(新台幣)-NB</t>
        </is>
      </c>
      <c r="D209" s="20" t="n">
        <v>7</v>
      </c>
      <c r="E209" s="20" t="inlineStr"/>
      <c r="F209" s="21" t="inlineStr">
        <is>
          <t>United States Treasury Note/Bond</t>
        </is>
      </c>
      <c r="G209" s="21" t="inlineStr">
        <is>
          <t>債券/固定收益</t>
        </is>
      </c>
      <c r="H209" s="25" t="n">
        <v>0.0133</v>
      </c>
      <c r="I209" s="21" t="inlineStr">
        <is>
          <t>-</t>
        </is>
      </c>
    </row>
    <row r="210" ht="19" customHeight="1">
      <c r="A210" s="26" t="inlineStr">
        <is>
          <t>共同基金</t>
        </is>
      </c>
      <c r="B210" s="26" t="inlineStr">
        <is>
          <t>DW</t>
        </is>
      </c>
      <c r="C210" s="27" t="inlineStr">
        <is>
          <t>國泰美國優質債券基金(新台幣)-NB</t>
        </is>
      </c>
      <c r="D210" s="26" t="n">
        <v>8</v>
      </c>
      <c r="E210" s="26" t="inlineStr"/>
      <c r="F210" s="27" t="inlineStr">
        <is>
          <t>IBM International Capital Pte Ltd</t>
        </is>
      </c>
      <c r="G210" s="27" t="inlineStr">
        <is>
          <t>其他產業</t>
        </is>
      </c>
      <c r="H210" s="31" t="n">
        <v>0.0133</v>
      </c>
      <c r="I210" s="27" t="inlineStr">
        <is>
          <t>-</t>
        </is>
      </c>
    </row>
    <row r="211" ht="19" customHeight="1">
      <c r="A211" s="20" t="inlineStr">
        <is>
          <t>共同基金</t>
        </is>
      </c>
      <c r="B211" s="20" t="inlineStr">
        <is>
          <t>DW</t>
        </is>
      </c>
      <c r="C211" s="21" t="inlineStr">
        <is>
          <t>國泰美國優質債券基金(新台幣)-NB</t>
        </is>
      </c>
      <c r="D211" s="20" t="n">
        <v>9</v>
      </c>
      <c r="E211" s="20" t="inlineStr"/>
      <c r="F211" s="21" t="inlineStr">
        <is>
          <t>Waste Management Inc</t>
        </is>
      </c>
      <c r="G211" s="21" t="inlineStr">
        <is>
          <t>其他產業</t>
        </is>
      </c>
      <c r="H211" s="25" t="n">
        <v>0.0133</v>
      </c>
      <c r="I211" s="21" t="inlineStr">
        <is>
          <t>-</t>
        </is>
      </c>
    </row>
    <row r="212" ht="19" customHeight="1">
      <c r="A212" s="26" t="inlineStr">
        <is>
          <t>共同基金</t>
        </is>
      </c>
      <c r="B212" s="26" t="inlineStr">
        <is>
          <t>DW</t>
        </is>
      </c>
      <c r="C212" s="27" t="inlineStr">
        <is>
          <t>國泰美國優質債券基金(新台幣)-NB</t>
        </is>
      </c>
      <c r="D212" s="26" t="n">
        <v>10</v>
      </c>
      <c r="E212" s="26" t="inlineStr"/>
      <c r="F212" s="27" t="inlineStr">
        <is>
          <t>Charter Communications Operating LLC / Charter Communications Operating Capital</t>
        </is>
      </c>
      <c r="G212" s="27" t="inlineStr">
        <is>
          <t>其他產業</t>
        </is>
      </c>
      <c r="H212" s="31" t="n">
        <v>0.0127</v>
      </c>
      <c r="I212" s="27" t="inlineStr">
        <is>
          <t>-</t>
        </is>
      </c>
    </row>
    <row r="213" ht="19" customHeight="1">
      <c r="A213" s="20" t="inlineStr">
        <is>
          <t>共同基金</t>
        </is>
      </c>
      <c r="B213" s="20" t="inlineStr">
        <is>
          <t>AP</t>
        </is>
      </c>
      <c r="C213" s="21" t="inlineStr">
        <is>
          <t>國泰主順位資產抵押非投資等級債券基金(新台幣)-NB</t>
        </is>
      </c>
      <c r="D213" s="20" t="n">
        <v>1</v>
      </c>
      <c r="E213" s="20" t="inlineStr"/>
      <c r="F213" s="21" t="inlineStr">
        <is>
          <t>MIDWEST GMNG BOR/MWG FIN</t>
        </is>
      </c>
      <c r="G213" s="21" t="inlineStr">
        <is>
          <t>其他產業</t>
        </is>
      </c>
      <c r="H213" s="25" t="n">
        <v>0.0117</v>
      </c>
      <c r="I213" s="21" t="inlineStr">
        <is>
          <t>-</t>
        </is>
      </c>
    </row>
    <row r="214" ht="19" customHeight="1">
      <c r="A214" s="26" t="inlineStr">
        <is>
          <t>共同基金</t>
        </is>
      </c>
      <c r="B214" s="26" t="inlineStr">
        <is>
          <t>AP</t>
        </is>
      </c>
      <c r="C214" s="27" t="inlineStr">
        <is>
          <t>國泰主順位資產抵押非投資等級債券基金(新台幣)-NB</t>
        </is>
      </c>
      <c r="D214" s="26" t="n">
        <v>2</v>
      </c>
      <c r="E214" s="26" t="inlineStr"/>
      <c r="F214" s="27" t="inlineStr">
        <is>
          <t>國泰台灣貨幣市場基金</t>
        </is>
      </c>
      <c r="G214" s="27" t="inlineStr">
        <is>
          <t>其他產業</t>
        </is>
      </c>
      <c r="H214" s="31" t="n">
        <v>0.0111</v>
      </c>
      <c r="I214" s="27" t="inlineStr">
        <is>
          <t>-</t>
        </is>
      </c>
    </row>
    <row r="215" ht="19" customHeight="1">
      <c r="A215" s="20" t="inlineStr">
        <is>
          <t>共同基金</t>
        </is>
      </c>
      <c r="B215" s="20" t="inlineStr">
        <is>
          <t>AP</t>
        </is>
      </c>
      <c r="C215" s="21" t="inlineStr">
        <is>
          <t>國泰主順位資產抵押非投資等級債券基金(新台幣)-NB</t>
        </is>
      </c>
      <c r="D215" s="20" t="n">
        <v>3</v>
      </c>
      <c r="E215" s="20" t="inlineStr"/>
      <c r="F215" s="21" t="inlineStr">
        <is>
          <t>WINDSTREAM SERVICES/ESCR</t>
        </is>
      </c>
      <c r="G215" s="21" t="inlineStr">
        <is>
          <t>其他產業</t>
        </is>
      </c>
      <c r="H215" s="25" t="n">
        <v>0.0106</v>
      </c>
      <c r="I215" s="21" t="inlineStr">
        <is>
          <t>-</t>
        </is>
      </c>
    </row>
    <row r="216" ht="19" customHeight="1">
      <c r="A216" s="26" t="inlineStr">
        <is>
          <t>共同基金</t>
        </is>
      </c>
      <c r="B216" s="26" t="inlineStr">
        <is>
          <t>AP</t>
        </is>
      </c>
      <c r="C216" s="27" t="inlineStr">
        <is>
          <t>國泰主順位資產抵押非投資等級債券基金(新台幣)-NB</t>
        </is>
      </c>
      <c r="D216" s="26" t="n">
        <v>4</v>
      </c>
      <c r="E216" s="26" t="inlineStr"/>
      <c r="F216" s="27" t="inlineStr">
        <is>
          <t>ADT SEC CORP</t>
        </is>
      </c>
      <c r="G216" s="27" t="inlineStr">
        <is>
          <t>其他產業</t>
        </is>
      </c>
      <c r="H216" s="31" t="n">
        <v>0.0104</v>
      </c>
      <c r="I216" s="27" t="inlineStr">
        <is>
          <t>-</t>
        </is>
      </c>
    </row>
    <row r="217" ht="19" customHeight="1">
      <c r="A217" s="20" t="inlineStr">
        <is>
          <t>共同基金</t>
        </is>
      </c>
      <c r="B217" s="20" t="inlineStr">
        <is>
          <t>AP</t>
        </is>
      </c>
      <c r="C217" s="21" t="inlineStr">
        <is>
          <t>國泰主順位資產抵押非投資等級債券基金(新台幣)-NB</t>
        </is>
      </c>
      <c r="D217" s="20" t="n">
        <v>5</v>
      </c>
      <c r="E217" s="20" t="inlineStr"/>
      <c r="F217" s="21" t="inlineStr">
        <is>
          <t>PLT VII FINANCE SARL</t>
        </is>
      </c>
      <c r="G217" s="21" t="inlineStr">
        <is>
          <t>其他產業</t>
        </is>
      </c>
      <c r="H217" s="25" t="n">
        <v>0.01</v>
      </c>
      <c r="I217" s="21" t="inlineStr">
        <is>
          <t>-</t>
        </is>
      </c>
    </row>
    <row r="218" ht="19" customHeight="1">
      <c r="A218" s="26" t="inlineStr">
        <is>
          <t>共同基金</t>
        </is>
      </c>
      <c r="B218" s="26" t="inlineStr">
        <is>
          <t>AP</t>
        </is>
      </c>
      <c r="C218" s="27" t="inlineStr">
        <is>
          <t>國泰主順位資產抵押非投資等級債券基金(新台幣)-NB</t>
        </is>
      </c>
      <c r="D218" s="26" t="n">
        <v>6</v>
      </c>
      <c r="E218" s="26" t="inlineStr"/>
      <c r="F218" s="27" t="inlineStr">
        <is>
          <t>CQP HOLDCO LP/BIP-V CHIN</t>
        </is>
      </c>
      <c r="G218" s="27" t="inlineStr">
        <is>
          <t>其他產業</t>
        </is>
      </c>
      <c r="H218" s="31" t="n">
        <v>0.0097</v>
      </c>
      <c r="I218" s="27" t="inlineStr">
        <is>
          <t>-</t>
        </is>
      </c>
    </row>
    <row r="219" ht="19" customHeight="1">
      <c r="A219" s="20" t="inlineStr">
        <is>
          <t>共同基金</t>
        </is>
      </c>
      <c r="B219" s="20" t="inlineStr">
        <is>
          <t>AP</t>
        </is>
      </c>
      <c r="C219" s="21" t="inlineStr">
        <is>
          <t>國泰主順位資產抵押非投資等級債券基金(新台幣)-NB</t>
        </is>
      </c>
      <c r="D219" s="20" t="n">
        <v>7</v>
      </c>
      <c r="E219" s="20" t="inlineStr"/>
      <c r="F219" s="21" t="inlineStr">
        <is>
          <t>RADIOLOGY PARTNERS INC</t>
        </is>
      </c>
      <c r="G219" s="21" t="inlineStr">
        <is>
          <t>其他產業</t>
        </is>
      </c>
      <c r="H219" s="25" t="n">
        <v>0.0095</v>
      </c>
      <c r="I219" s="21" t="inlineStr">
        <is>
          <t>-</t>
        </is>
      </c>
    </row>
    <row r="220" ht="19" customHeight="1">
      <c r="A220" s="26" t="inlineStr">
        <is>
          <t>共同基金</t>
        </is>
      </c>
      <c r="B220" s="26" t="inlineStr">
        <is>
          <t>AP</t>
        </is>
      </c>
      <c r="C220" s="27" t="inlineStr">
        <is>
          <t>國泰主順位資產抵押非投資等級債券基金(新台幣)-NB</t>
        </is>
      </c>
      <c r="D220" s="26" t="n">
        <v>8</v>
      </c>
      <c r="E220" s="26" t="inlineStr"/>
      <c r="F220" s="27" t="inlineStr">
        <is>
          <t>1261229 BC LTD</t>
        </is>
      </c>
      <c r="G220" s="27" t="inlineStr">
        <is>
          <t>其他產業</t>
        </is>
      </c>
      <c r="H220" s="31" t="n">
        <v>0.009399999999999999</v>
      </c>
      <c r="I220" s="27" t="inlineStr">
        <is>
          <t>-</t>
        </is>
      </c>
    </row>
    <row r="221" ht="19" customHeight="1">
      <c r="A221" s="20" t="inlineStr">
        <is>
          <t>共同基金</t>
        </is>
      </c>
      <c r="B221" s="20" t="inlineStr">
        <is>
          <t>AP</t>
        </is>
      </c>
      <c r="C221" s="21" t="inlineStr">
        <is>
          <t>國泰主順位資產抵押非投資等級債券基金(新台幣)-NB</t>
        </is>
      </c>
      <c r="D221" s="20" t="n">
        <v>9</v>
      </c>
      <c r="E221" s="20" t="inlineStr"/>
      <c r="F221" s="21" t="inlineStr">
        <is>
          <t>LUNA 2 5SARL</t>
        </is>
      </c>
      <c r="G221" s="21" t="inlineStr">
        <is>
          <t>其他產業</t>
        </is>
      </c>
      <c r="H221" s="25" t="n">
        <v>0.0086</v>
      </c>
      <c r="I221" s="21" t="inlineStr">
        <is>
          <t>-</t>
        </is>
      </c>
    </row>
    <row r="222" ht="19" customHeight="1">
      <c r="A222" s="26" t="inlineStr">
        <is>
          <t>共同基金</t>
        </is>
      </c>
      <c r="B222" s="26" t="inlineStr">
        <is>
          <t>AP</t>
        </is>
      </c>
      <c r="C222" s="27" t="inlineStr">
        <is>
          <t>國泰主順位資產抵押非投資等級債券基金(新台幣)-NB</t>
        </is>
      </c>
      <c r="D222" s="26" t="n">
        <v>10</v>
      </c>
      <c r="E222" s="26" t="inlineStr"/>
      <c r="F222" s="27" t="inlineStr">
        <is>
          <t>PARAMOUNT SKYDANCE CORP</t>
        </is>
      </c>
      <c r="G222" s="27" t="inlineStr">
        <is>
          <t>其他產業</t>
        </is>
      </c>
      <c r="H222" s="31" t="n">
        <v>0.008500000000000001</v>
      </c>
      <c r="I222" s="27" t="inlineStr">
        <is>
          <t>-</t>
        </is>
      </c>
    </row>
    <row r="223" ht="19" customHeight="1">
      <c r="A223" s="20" t="inlineStr">
        <is>
          <t>共同基金</t>
        </is>
      </c>
      <c r="B223" s="20" t="inlineStr">
        <is>
          <t>CL</t>
        </is>
      </c>
      <c r="C223" s="21" t="inlineStr">
        <is>
          <t>國泰台灣高股息基金(新台幣)-A</t>
        </is>
      </c>
      <c r="D223" s="20" t="n">
        <v>1</v>
      </c>
      <c r="E223" s="20" t="inlineStr"/>
      <c r="F223" s="21" t="inlineStr">
        <is>
          <t>台積電</t>
        </is>
      </c>
      <c r="G223" s="21" t="inlineStr">
        <is>
          <t>台積電 (半導體)</t>
        </is>
      </c>
      <c r="H223" s="23" t="n">
        <v>0.0789</v>
      </c>
      <c r="I223" s="21" t="inlineStr">
        <is>
          <t>-</t>
        </is>
      </c>
    </row>
    <row r="224" ht="19" customHeight="1">
      <c r="A224" s="26" t="inlineStr">
        <is>
          <t>共同基金</t>
        </is>
      </c>
      <c r="B224" s="26" t="inlineStr">
        <is>
          <t>CL</t>
        </is>
      </c>
      <c r="C224" s="27" t="inlineStr">
        <is>
          <t>國泰台灣高股息基金(新台幣)-A</t>
        </is>
      </c>
      <c r="D224" s="26" t="n">
        <v>2</v>
      </c>
      <c r="E224" s="26" t="inlineStr"/>
      <c r="F224" s="27" t="inlineStr">
        <is>
          <t>聯發科</t>
        </is>
      </c>
      <c r="G224" s="27" t="inlineStr">
        <is>
          <t>科技電子</t>
        </is>
      </c>
      <c r="H224" s="29" t="n">
        <v>0.06570000000000001</v>
      </c>
      <c r="I224" s="27" t="inlineStr">
        <is>
          <t>-</t>
        </is>
      </c>
    </row>
    <row r="225" ht="19" customHeight="1">
      <c r="A225" s="20" t="inlineStr">
        <is>
          <t>共同基金</t>
        </is>
      </c>
      <c r="B225" s="20" t="inlineStr">
        <is>
          <t>CL</t>
        </is>
      </c>
      <c r="C225" s="21" t="inlineStr">
        <is>
          <t>國泰台灣高股息基金(新台幣)-A</t>
        </is>
      </c>
      <c r="D225" s="20" t="n">
        <v>3</v>
      </c>
      <c r="E225" s="20" t="inlineStr"/>
      <c r="F225" s="21" t="inlineStr">
        <is>
          <t>欣  興</t>
        </is>
      </c>
      <c r="G225" s="21" t="inlineStr">
        <is>
          <t>科技電子</t>
        </is>
      </c>
      <c r="H225" s="23" t="n">
        <v>0.0573</v>
      </c>
      <c r="I225" s="21" t="inlineStr">
        <is>
          <t>-</t>
        </is>
      </c>
    </row>
    <row r="226" ht="19" customHeight="1">
      <c r="A226" s="26" t="inlineStr">
        <is>
          <t>共同基金</t>
        </is>
      </c>
      <c r="B226" s="26" t="inlineStr">
        <is>
          <t>CL</t>
        </is>
      </c>
      <c r="C226" s="27" t="inlineStr">
        <is>
          <t>國泰台灣高股息基金(新台幣)-A</t>
        </is>
      </c>
      <c r="D226" s="26" t="n">
        <v>4</v>
      </c>
      <c r="E226" s="26" t="inlineStr"/>
      <c r="F226" s="27" t="inlineStr">
        <is>
          <t>川  湖</t>
        </is>
      </c>
      <c r="G226" s="27" t="inlineStr">
        <is>
          <t>科技電子</t>
        </is>
      </c>
      <c r="H226" s="31" t="n">
        <v>0.04969999999999999</v>
      </c>
      <c r="I226" s="27" t="inlineStr">
        <is>
          <t>-</t>
        </is>
      </c>
    </row>
    <row r="227" ht="19" customHeight="1">
      <c r="A227" s="20" t="inlineStr">
        <is>
          <t>共同基金</t>
        </is>
      </c>
      <c r="B227" s="20" t="inlineStr">
        <is>
          <t>CL</t>
        </is>
      </c>
      <c r="C227" s="21" t="inlineStr">
        <is>
          <t>國泰台灣高股息基金(新台幣)-A</t>
        </is>
      </c>
      <c r="D227" s="20" t="n">
        <v>5</v>
      </c>
      <c r="E227" s="20" t="inlineStr"/>
      <c r="F227" s="21" t="inlineStr">
        <is>
          <t>台光電</t>
        </is>
      </c>
      <c r="G227" s="21" t="inlineStr">
        <is>
          <t>科技電子</t>
        </is>
      </c>
      <c r="H227" s="25" t="n">
        <v>0.0483</v>
      </c>
      <c r="I227" s="21" t="inlineStr">
        <is>
          <t>-</t>
        </is>
      </c>
    </row>
    <row r="228" ht="19" customHeight="1">
      <c r="A228" s="26" t="inlineStr">
        <is>
          <t>共同基金</t>
        </is>
      </c>
      <c r="B228" s="26" t="inlineStr">
        <is>
          <t>CL</t>
        </is>
      </c>
      <c r="C228" s="27" t="inlineStr">
        <is>
          <t>國泰台灣高股息基金(新台幣)-A</t>
        </is>
      </c>
      <c r="D228" s="26" t="n">
        <v>6</v>
      </c>
      <c r="E228" s="26" t="inlineStr"/>
      <c r="F228" s="27" t="inlineStr">
        <is>
          <t>台達電</t>
        </is>
      </c>
      <c r="G228" s="27" t="inlineStr">
        <is>
          <t>科技電子</t>
        </is>
      </c>
      <c r="H228" s="31" t="n">
        <v>0.0478</v>
      </c>
      <c r="I228" s="27" t="inlineStr">
        <is>
          <t>-</t>
        </is>
      </c>
    </row>
    <row r="229" ht="19" customHeight="1">
      <c r="A229" s="20" t="inlineStr">
        <is>
          <t>共同基金</t>
        </is>
      </c>
      <c r="B229" s="20" t="inlineStr">
        <is>
          <t>CL</t>
        </is>
      </c>
      <c r="C229" s="21" t="inlineStr">
        <is>
          <t>國泰台灣高股息基金(新台幣)-A</t>
        </is>
      </c>
      <c r="D229" s="20" t="n">
        <v>7</v>
      </c>
      <c r="E229" s="20" t="inlineStr"/>
      <c r="F229" s="21" t="inlineStr">
        <is>
          <t>健  策</t>
        </is>
      </c>
      <c r="G229" s="21" t="inlineStr">
        <is>
          <t>科技電子</t>
        </is>
      </c>
      <c r="H229" s="25" t="n">
        <v>0.0451</v>
      </c>
      <c r="I229" s="21" t="inlineStr">
        <is>
          <t>-</t>
        </is>
      </c>
    </row>
    <row r="230" ht="19" customHeight="1">
      <c r="A230" s="26" t="inlineStr">
        <is>
          <t>共同基金</t>
        </is>
      </c>
      <c r="B230" s="26" t="inlineStr">
        <is>
          <t>CL</t>
        </is>
      </c>
      <c r="C230" s="27" t="inlineStr">
        <is>
          <t>國泰台灣高股息基金(新台幣)-A</t>
        </is>
      </c>
      <c r="D230" s="26" t="n">
        <v>8</v>
      </c>
      <c r="E230" s="26" t="inlineStr"/>
      <c r="F230" s="27" t="inlineStr">
        <is>
          <t>創  意</t>
        </is>
      </c>
      <c r="G230" s="27" t="inlineStr">
        <is>
          <t>科技電子</t>
        </is>
      </c>
      <c r="H230" s="31" t="n">
        <v>0.04</v>
      </c>
      <c r="I230" s="27" t="inlineStr">
        <is>
          <t>-</t>
        </is>
      </c>
    </row>
    <row r="231" ht="19" customHeight="1">
      <c r="A231" s="20" t="inlineStr">
        <is>
          <t>共同基金</t>
        </is>
      </c>
      <c r="B231" s="20" t="inlineStr">
        <is>
          <t>CL</t>
        </is>
      </c>
      <c r="C231" s="21" t="inlineStr">
        <is>
          <t>國泰台灣高股息基金(新台幣)-A</t>
        </is>
      </c>
      <c r="D231" s="20" t="n">
        <v>9</v>
      </c>
      <c r="E231" s="20" t="inlineStr"/>
      <c r="F231" s="21" t="inlineStr">
        <is>
          <t>旺  矽</t>
        </is>
      </c>
      <c r="G231" s="21" t="inlineStr">
        <is>
          <t>科技電子</t>
        </is>
      </c>
      <c r="H231" s="25" t="n">
        <v>0.0397</v>
      </c>
      <c r="I231" s="21" t="inlineStr">
        <is>
          <t>-</t>
        </is>
      </c>
    </row>
    <row r="232" ht="19" customHeight="1">
      <c r="A232" s="26" t="inlineStr">
        <is>
          <t>共同基金</t>
        </is>
      </c>
      <c r="B232" s="26" t="inlineStr">
        <is>
          <t>CL</t>
        </is>
      </c>
      <c r="C232" s="27" t="inlineStr">
        <is>
          <t>國泰台灣高股息基金(新台幣)-A</t>
        </is>
      </c>
      <c r="D232" s="26" t="n">
        <v>10</v>
      </c>
      <c r="E232" s="26" t="inlineStr"/>
      <c r="F232" s="27" t="inlineStr">
        <is>
          <t>奇  鋐</t>
        </is>
      </c>
      <c r="G232" s="27" t="inlineStr">
        <is>
          <t>科技電子</t>
        </is>
      </c>
      <c r="H232" s="31" t="n">
        <v>0.0396</v>
      </c>
      <c r="I232" s="27" t="inlineStr">
        <is>
          <t>-</t>
        </is>
      </c>
    </row>
    <row r="233" ht="19" customHeight="1">
      <c r="A233" s="20" t="inlineStr">
        <is>
          <t>共同基金</t>
        </is>
      </c>
      <c r="B233" s="20" t="inlineStr">
        <is>
          <t>01</t>
        </is>
      </c>
      <c r="C233" s="21" t="inlineStr">
        <is>
          <t>國泰國泰基金(新台幣)-A</t>
        </is>
      </c>
      <c r="D233" s="20" t="n">
        <v>1</v>
      </c>
      <c r="E233" s="20" t="inlineStr"/>
      <c r="F233" s="21" t="inlineStr">
        <is>
          <t>欣  興</t>
        </is>
      </c>
      <c r="G233" s="21" t="inlineStr">
        <is>
          <t>科技電子</t>
        </is>
      </c>
      <c r="H233" s="23" t="n">
        <v>0.06370000000000001</v>
      </c>
      <c r="I233" s="21" t="inlineStr">
        <is>
          <t>-</t>
        </is>
      </c>
    </row>
    <row r="234" ht="19" customHeight="1">
      <c r="A234" s="26" t="inlineStr">
        <is>
          <t>共同基金</t>
        </is>
      </c>
      <c r="B234" s="26" t="inlineStr">
        <is>
          <t>01</t>
        </is>
      </c>
      <c r="C234" s="27" t="inlineStr">
        <is>
          <t>國泰國泰基金(新台幣)-A</t>
        </is>
      </c>
      <c r="D234" s="26" t="n">
        <v>2</v>
      </c>
      <c r="E234" s="26" t="inlineStr"/>
      <c r="F234" s="27" t="inlineStr">
        <is>
          <t>環球晶</t>
        </is>
      </c>
      <c r="G234" s="27" t="inlineStr">
        <is>
          <t>科技電子</t>
        </is>
      </c>
      <c r="H234" s="29" t="n">
        <v>0.06269999999999999</v>
      </c>
      <c r="I234" s="27" t="inlineStr">
        <is>
          <t>-</t>
        </is>
      </c>
    </row>
    <row r="235" ht="19" customHeight="1">
      <c r="A235" s="20" t="inlineStr">
        <is>
          <t>共同基金</t>
        </is>
      </c>
      <c r="B235" s="20" t="inlineStr">
        <is>
          <t>01</t>
        </is>
      </c>
      <c r="C235" s="21" t="inlineStr">
        <is>
          <t>國泰國泰基金(新台幣)-A</t>
        </is>
      </c>
      <c r="D235" s="20" t="n">
        <v>3</v>
      </c>
      <c r="E235" s="20" t="inlineStr"/>
      <c r="F235" s="21" t="inlineStr">
        <is>
          <t>創  意</t>
        </is>
      </c>
      <c r="G235" s="21" t="inlineStr">
        <is>
          <t>科技電子</t>
        </is>
      </c>
      <c r="H235" s="23" t="n">
        <v>0.0564</v>
      </c>
      <c r="I235" s="21" t="inlineStr">
        <is>
          <t>-</t>
        </is>
      </c>
    </row>
    <row r="236" ht="19" customHeight="1">
      <c r="A236" s="26" t="inlineStr">
        <is>
          <t>共同基金</t>
        </is>
      </c>
      <c r="B236" s="26" t="inlineStr">
        <is>
          <t>01</t>
        </is>
      </c>
      <c r="C236" s="27" t="inlineStr">
        <is>
          <t>國泰國泰基金(新台幣)-A</t>
        </is>
      </c>
      <c r="D236" s="26" t="n">
        <v>4</v>
      </c>
      <c r="E236" s="26" t="inlineStr"/>
      <c r="F236" s="27" t="inlineStr">
        <is>
          <t>旺  矽</t>
        </is>
      </c>
      <c r="G236" s="27" t="inlineStr">
        <is>
          <t>科技電子</t>
        </is>
      </c>
      <c r="H236" s="29" t="n">
        <v>0.0559</v>
      </c>
      <c r="I236" s="27" t="inlineStr">
        <is>
          <t>-</t>
        </is>
      </c>
    </row>
    <row r="237" ht="19" customHeight="1">
      <c r="A237" s="20" t="inlineStr">
        <is>
          <t>共同基金</t>
        </is>
      </c>
      <c r="B237" s="20" t="inlineStr">
        <is>
          <t>01</t>
        </is>
      </c>
      <c r="C237" s="21" t="inlineStr">
        <is>
          <t>國泰國泰基金(新台幣)-A</t>
        </is>
      </c>
      <c r="D237" s="20" t="n">
        <v>5</v>
      </c>
      <c r="E237" s="20" t="inlineStr"/>
      <c r="F237" s="21" t="inlineStr">
        <is>
          <t>台勝科</t>
        </is>
      </c>
      <c r="G237" s="21" t="inlineStr">
        <is>
          <t>科技電子</t>
        </is>
      </c>
      <c r="H237" s="23" t="n">
        <v>0.05110000000000001</v>
      </c>
      <c r="I237" s="21" t="inlineStr">
        <is>
          <t>-</t>
        </is>
      </c>
    </row>
    <row r="238" ht="19" customHeight="1">
      <c r="A238" s="26" t="inlineStr">
        <is>
          <t>共同基金</t>
        </is>
      </c>
      <c r="B238" s="26" t="inlineStr">
        <is>
          <t>01</t>
        </is>
      </c>
      <c r="C238" s="27" t="inlineStr">
        <is>
          <t>國泰國泰基金(新台幣)-A</t>
        </is>
      </c>
      <c r="D238" s="26" t="n">
        <v>6</v>
      </c>
      <c r="E238" s="26" t="inlineStr"/>
      <c r="F238" s="27" t="inlineStr">
        <is>
          <t>台光電</t>
        </is>
      </c>
      <c r="G238" s="27" t="inlineStr">
        <is>
          <t>科技電子</t>
        </is>
      </c>
      <c r="H238" s="31" t="n">
        <v>0.0472</v>
      </c>
      <c r="I238" s="27" t="inlineStr">
        <is>
          <t>-</t>
        </is>
      </c>
    </row>
    <row r="239" ht="19" customHeight="1">
      <c r="A239" s="20" t="inlineStr">
        <is>
          <t>共同基金</t>
        </is>
      </c>
      <c r="B239" s="20" t="inlineStr">
        <is>
          <t>01</t>
        </is>
      </c>
      <c r="C239" s="21" t="inlineStr">
        <is>
          <t>國泰國泰基金(新台幣)-A</t>
        </is>
      </c>
      <c r="D239" s="20" t="n">
        <v>7</v>
      </c>
      <c r="E239" s="20" t="inlineStr"/>
      <c r="F239" s="21" t="inlineStr">
        <is>
          <t>川  湖</t>
        </is>
      </c>
      <c r="G239" s="21" t="inlineStr">
        <is>
          <t>科技電子</t>
        </is>
      </c>
      <c r="H239" s="25" t="n">
        <v>0.0384</v>
      </c>
      <c r="I239" s="21" t="inlineStr">
        <is>
          <t>-</t>
        </is>
      </c>
    </row>
    <row r="240" ht="19" customHeight="1">
      <c r="A240" s="26" t="inlineStr">
        <is>
          <t>共同基金</t>
        </is>
      </c>
      <c r="B240" s="26" t="inlineStr">
        <is>
          <t>01</t>
        </is>
      </c>
      <c r="C240" s="27" t="inlineStr">
        <is>
          <t>國泰國泰基金(新台幣)-A</t>
        </is>
      </c>
      <c r="D240" s="26" t="n">
        <v>8</v>
      </c>
      <c r="E240" s="26" t="inlineStr"/>
      <c r="F240" s="27" t="inlineStr">
        <is>
          <t>聯發科</t>
        </is>
      </c>
      <c r="G240" s="27" t="inlineStr">
        <is>
          <t>科技電子</t>
        </is>
      </c>
      <c r="H240" s="31" t="n">
        <v>0.0377</v>
      </c>
      <c r="I240" s="27" t="inlineStr">
        <is>
          <t>-</t>
        </is>
      </c>
    </row>
    <row r="241" ht="19" customHeight="1">
      <c r="A241" s="20" t="inlineStr">
        <is>
          <t>共同基金</t>
        </is>
      </c>
      <c r="B241" s="20" t="inlineStr">
        <is>
          <t>01</t>
        </is>
      </c>
      <c r="C241" s="21" t="inlineStr">
        <is>
          <t>國泰國泰基金(新台幣)-A</t>
        </is>
      </c>
      <c r="D241" s="20" t="n">
        <v>9</v>
      </c>
      <c r="E241" s="20" t="inlineStr"/>
      <c r="F241" s="21" t="inlineStr">
        <is>
          <t>金像電</t>
        </is>
      </c>
      <c r="G241" s="21" t="inlineStr">
        <is>
          <t>科技電子</t>
        </is>
      </c>
      <c r="H241" s="25" t="n">
        <v>0.03759999999999999</v>
      </c>
      <c r="I241" s="21" t="inlineStr">
        <is>
          <t>-</t>
        </is>
      </c>
    </row>
    <row r="242" ht="19" customHeight="1">
      <c r="A242" s="26" t="inlineStr">
        <is>
          <t>共同基金</t>
        </is>
      </c>
      <c r="B242" s="26" t="inlineStr">
        <is>
          <t>01</t>
        </is>
      </c>
      <c r="C242" s="27" t="inlineStr">
        <is>
          <t>國泰國泰基金(新台幣)-A</t>
        </is>
      </c>
      <c r="D242" s="26" t="n">
        <v>10</v>
      </c>
      <c r="E242" s="26" t="inlineStr"/>
      <c r="F242" s="27" t="inlineStr">
        <is>
          <t>華星光</t>
        </is>
      </c>
      <c r="G242" s="27" t="inlineStr">
        <is>
          <t>其他產業</t>
        </is>
      </c>
      <c r="H242" s="31" t="n">
        <v>0.0363</v>
      </c>
      <c r="I242" s="27" t="inlineStr">
        <is>
          <t>-</t>
        </is>
      </c>
    </row>
    <row r="243" ht="19" customHeight="1">
      <c r="A243" s="20" t="inlineStr">
        <is>
          <t>共同基金</t>
        </is>
      </c>
      <c r="B243" s="20" t="inlineStr">
        <is>
          <t>14</t>
        </is>
      </c>
      <c r="C243" s="21" t="inlineStr">
        <is>
          <t>國泰小龍基金(新台幣)</t>
        </is>
      </c>
      <c r="D243" s="20" t="n">
        <v>1</v>
      </c>
      <c r="E243" s="20" t="inlineStr"/>
      <c r="F243" s="21" t="inlineStr">
        <is>
          <t>欣  興</t>
        </is>
      </c>
      <c r="G243" s="21" t="inlineStr">
        <is>
          <t>科技電子</t>
        </is>
      </c>
      <c r="H243" s="23" t="n">
        <v>0.0915</v>
      </c>
      <c r="I243" s="21" t="inlineStr">
        <is>
          <t>-</t>
        </is>
      </c>
    </row>
    <row r="244" ht="19" customHeight="1">
      <c r="A244" s="26" t="inlineStr">
        <is>
          <t>共同基金</t>
        </is>
      </c>
      <c r="B244" s="26" t="inlineStr">
        <is>
          <t>14</t>
        </is>
      </c>
      <c r="C244" s="27" t="inlineStr">
        <is>
          <t>國泰小龍基金(新台幣)</t>
        </is>
      </c>
      <c r="D244" s="26" t="n">
        <v>2</v>
      </c>
      <c r="E244" s="26" t="inlineStr"/>
      <c r="F244" s="27" t="inlineStr">
        <is>
          <t>創  意</t>
        </is>
      </c>
      <c r="G244" s="27" t="inlineStr">
        <is>
          <t>科技電子</t>
        </is>
      </c>
      <c r="H244" s="29" t="n">
        <v>0.07290000000000001</v>
      </c>
      <c r="I244" s="27" t="inlineStr">
        <is>
          <t>-</t>
        </is>
      </c>
    </row>
    <row r="245" ht="19" customHeight="1">
      <c r="A245" s="20" t="inlineStr">
        <is>
          <t>共同基金</t>
        </is>
      </c>
      <c r="B245" s="20" t="inlineStr">
        <is>
          <t>14</t>
        </is>
      </c>
      <c r="C245" s="21" t="inlineStr">
        <is>
          <t>國泰小龍基金(新台幣)</t>
        </is>
      </c>
      <c r="D245" s="20" t="n">
        <v>3</v>
      </c>
      <c r="E245" s="20" t="inlineStr"/>
      <c r="F245" s="21" t="inlineStr">
        <is>
          <t>環球晶</t>
        </is>
      </c>
      <c r="G245" s="21" t="inlineStr">
        <is>
          <t>科技電子</t>
        </is>
      </c>
      <c r="H245" s="23" t="n">
        <v>0.0694</v>
      </c>
      <c r="I245" s="21" t="inlineStr">
        <is>
          <t>-</t>
        </is>
      </c>
    </row>
    <row r="246" ht="19" customHeight="1">
      <c r="A246" s="26" t="inlineStr">
        <is>
          <t>共同基金</t>
        </is>
      </c>
      <c r="B246" s="26" t="inlineStr">
        <is>
          <t>14</t>
        </is>
      </c>
      <c r="C246" s="27" t="inlineStr">
        <is>
          <t>國泰小龍基金(新台幣)</t>
        </is>
      </c>
      <c r="D246" s="26" t="n">
        <v>4</v>
      </c>
      <c r="E246" s="26" t="inlineStr"/>
      <c r="F246" s="27" t="inlineStr">
        <is>
          <t>聯發科</t>
        </is>
      </c>
      <c r="G246" s="27" t="inlineStr">
        <is>
          <t>科技電子</t>
        </is>
      </c>
      <c r="H246" s="29" t="n">
        <v>0.0646</v>
      </c>
      <c r="I246" s="27" t="inlineStr">
        <is>
          <t>-</t>
        </is>
      </c>
    </row>
    <row r="247" ht="19" customHeight="1">
      <c r="A247" s="20" t="inlineStr">
        <is>
          <t>共同基金</t>
        </is>
      </c>
      <c r="B247" s="20" t="inlineStr">
        <is>
          <t>14</t>
        </is>
      </c>
      <c r="C247" s="21" t="inlineStr">
        <is>
          <t>國泰小龍基金(新台幣)</t>
        </is>
      </c>
      <c r="D247" s="20" t="n">
        <v>5</v>
      </c>
      <c r="E247" s="20" t="inlineStr"/>
      <c r="F247" s="21" t="inlineStr">
        <is>
          <t>台積電</t>
        </is>
      </c>
      <c r="G247" s="21" t="inlineStr">
        <is>
          <t>台積電 (半導體)</t>
        </is>
      </c>
      <c r="H247" s="23" t="n">
        <v>0.0537</v>
      </c>
      <c r="I247" s="21" t="inlineStr">
        <is>
          <t>-</t>
        </is>
      </c>
    </row>
    <row r="248" ht="19" customHeight="1">
      <c r="A248" s="26" t="inlineStr">
        <is>
          <t>共同基金</t>
        </is>
      </c>
      <c r="B248" s="26" t="inlineStr">
        <is>
          <t>14</t>
        </is>
      </c>
      <c r="C248" s="27" t="inlineStr">
        <is>
          <t>國泰小龍基金(新台幣)</t>
        </is>
      </c>
      <c r="D248" s="26" t="n">
        <v>6</v>
      </c>
      <c r="E248" s="26" t="inlineStr"/>
      <c r="F248" s="27" t="inlineStr">
        <is>
          <t>旺  矽</t>
        </is>
      </c>
      <c r="G248" s="27" t="inlineStr">
        <is>
          <t>科技電子</t>
        </is>
      </c>
      <c r="H248" s="29" t="n">
        <v>0.0516</v>
      </c>
      <c r="I248" s="27" t="inlineStr">
        <is>
          <t>-</t>
        </is>
      </c>
    </row>
    <row r="249" ht="19" customHeight="1">
      <c r="A249" s="20" t="inlineStr">
        <is>
          <t>共同基金</t>
        </is>
      </c>
      <c r="B249" s="20" t="inlineStr">
        <is>
          <t>14</t>
        </is>
      </c>
      <c r="C249" s="21" t="inlineStr">
        <is>
          <t>國泰小龍基金(新台幣)</t>
        </is>
      </c>
      <c r="D249" s="20" t="n">
        <v>7</v>
      </c>
      <c r="E249" s="20" t="inlineStr"/>
      <c r="F249" s="21" t="inlineStr">
        <is>
          <t>奇  鋐</t>
        </is>
      </c>
      <c r="G249" s="21" t="inlineStr">
        <is>
          <t>科技電子</t>
        </is>
      </c>
      <c r="H249" s="25" t="n">
        <v>0.0437</v>
      </c>
      <c r="I249" s="21" t="inlineStr">
        <is>
          <t>-</t>
        </is>
      </c>
    </row>
    <row r="250" ht="19" customHeight="1">
      <c r="A250" s="26" t="inlineStr">
        <is>
          <t>共同基金</t>
        </is>
      </c>
      <c r="B250" s="26" t="inlineStr">
        <is>
          <t>14</t>
        </is>
      </c>
      <c r="C250" s="27" t="inlineStr">
        <is>
          <t>國泰小龍基金(新台幣)</t>
        </is>
      </c>
      <c r="D250" s="26" t="n">
        <v>8</v>
      </c>
      <c r="E250" s="26" t="inlineStr"/>
      <c r="F250" s="27" t="inlineStr">
        <is>
          <t>台光電</t>
        </is>
      </c>
      <c r="G250" s="27" t="inlineStr">
        <is>
          <t>科技電子</t>
        </is>
      </c>
      <c r="H250" s="31" t="n">
        <v>0.0432</v>
      </c>
      <c r="I250" s="27" t="inlineStr">
        <is>
          <t>-</t>
        </is>
      </c>
    </row>
    <row r="251" ht="19" customHeight="1">
      <c r="A251" s="20" t="inlineStr">
        <is>
          <t>共同基金</t>
        </is>
      </c>
      <c r="B251" s="20" t="inlineStr">
        <is>
          <t>14</t>
        </is>
      </c>
      <c r="C251" s="21" t="inlineStr">
        <is>
          <t>國泰小龍基金(新台幣)</t>
        </is>
      </c>
      <c r="D251" s="20" t="n">
        <v>9</v>
      </c>
      <c r="E251" s="20" t="inlineStr"/>
      <c r="F251" s="21" t="inlineStr">
        <is>
          <t>川  湖</t>
        </is>
      </c>
      <c r="G251" s="21" t="inlineStr">
        <is>
          <t>科技電子</t>
        </is>
      </c>
      <c r="H251" s="25" t="n">
        <v>0.0411</v>
      </c>
      <c r="I251" s="21" t="inlineStr">
        <is>
          <t>-</t>
        </is>
      </c>
    </row>
    <row r="252" ht="19" customHeight="1">
      <c r="A252" s="26" t="inlineStr">
        <is>
          <t>共同基金</t>
        </is>
      </c>
      <c r="B252" s="26" t="inlineStr">
        <is>
          <t>14</t>
        </is>
      </c>
      <c r="C252" s="27" t="inlineStr">
        <is>
          <t>國泰小龍基金(新台幣)</t>
        </is>
      </c>
      <c r="D252" s="26" t="n">
        <v>10</v>
      </c>
      <c r="E252" s="26" t="inlineStr"/>
      <c r="F252" s="27" t="inlineStr">
        <is>
          <t>致  茂</t>
        </is>
      </c>
      <c r="G252" s="27" t="inlineStr">
        <is>
          <t>科技電子</t>
        </is>
      </c>
      <c r="H252" s="31" t="n">
        <v>0.033</v>
      </c>
      <c r="I252" s="27" t="inlineStr">
        <is>
          <t>-</t>
        </is>
      </c>
    </row>
    <row r="253" ht="19" customHeight="1">
      <c r="A253" s="20" t="inlineStr">
        <is>
          <t>共同基金</t>
        </is>
      </c>
      <c r="B253" s="20" t="inlineStr">
        <is>
          <t>03</t>
        </is>
      </c>
      <c r="C253" s="21" t="inlineStr">
        <is>
          <t>國泰中小成長基金(新台幣)-A</t>
        </is>
      </c>
      <c r="D253" s="20" t="n">
        <v>1</v>
      </c>
      <c r="E253" s="20" t="inlineStr"/>
      <c r="F253" s="21" t="inlineStr">
        <is>
          <t>創  意</t>
        </is>
      </c>
      <c r="G253" s="21" t="inlineStr">
        <is>
          <t>科技電子</t>
        </is>
      </c>
      <c r="H253" s="23" t="n">
        <v>0.0851</v>
      </c>
      <c r="I253" s="21" t="inlineStr">
        <is>
          <t>-</t>
        </is>
      </c>
    </row>
    <row r="254" ht="19" customHeight="1">
      <c r="A254" s="26" t="inlineStr">
        <is>
          <t>共同基金</t>
        </is>
      </c>
      <c r="B254" s="26" t="inlineStr">
        <is>
          <t>03</t>
        </is>
      </c>
      <c r="C254" s="27" t="inlineStr">
        <is>
          <t>國泰中小成長基金(新台幣)-A</t>
        </is>
      </c>
      <c r="D254" s="26" t="n">
        <v>2</v>
      </c>
      <c r="E254" s="26" t="inlineStr"/>
      <c r="F254" s="27" t="inlineStr">
        <is>
          <t>環球晶</t>
        </is>
      </c>
      <c r="G254" s="27" t="inlineStr">
        <is>
          <t>科技電子</t>
        </is>
      </c>
      <c r="H254" s="29" t="n">
        <v>0.0819</v>
      </c>
      <c r="I254" s="27" t="inlineStr">
        <is>
          <t>-</t>
        </is>
      </c>
    </row>
    <row r="255" ht="19" customHeight="1">
      <c r="A255" s="20" t="inlineStr">
        <is>
          <t>共同基金</t>
        </is>
      </c>
      <c r="B255" s="20" t="inlineStr">
        <is>
          <t>03</t>
        </is>
      </c>
      <c r="C255" s="21" t="inlineStr">
        <is>
          <t>國泰中小成長基金(新台幣)-A</t>
        </is>
      </c>
      <c r="D255" s="20" t="n">
        <v>3</v>
      </c>
      <c r="E255" s="20" t="inlineStr"/>
      <c r="F255" s="21" t="inlineStr">
        <is>
          <t>南  亞</t>
        </is>
      </c>
      <c r="G255" s="21" t="inlineStr">
        <is>
          <t>傳統產業</t>
        </is>
      </c>
      <c r="H255" s="23" t="n">
        <v>0.0684</v>
      </c>
      <c r="I255" s="21" t="inlineStr">
        <is>
          <t>-</t>
        </is>
      </c>
    </row>
    <row r="256" ht="19" customHeight="1">
      <c r="A256" s="26" t="inlineStr">
        <is>
          <t>共同基金</t>
        </is>
      </c>
      <c r="B256" s="26" t="inlineStr">
        <is>
          <t>03</t>
        </is>
      </c>
      <c r="C256" s="27" t="inlineStr">
        <is>
          <t>國泰中小成長基金(新台幣)-A</t>
        </is>
      </c>
      <c r="D256" s="26" t="n">
        <v>4</v>
      </c>
      <c r="E256" s="26" t="inlineStr"/>
      <c r="F256" s="27" t="inlineStr">
        <is>
          <t>欣  興</t>
        </is>
      </c>
      <c r="G256" s="27" t="inlineStr">
        <is>
          <t>科技電子</t>
        </is>
      </c>
      <c r="H256" s="29" t="n">
        <v>0.0664</v>
      </c>
      <c r="I256" s="27" t="inlineStr">
        <is>
          <t>-</t>
        </is>
      </c>
    </row>
    <row r="257" ht="19" customHeight="1">
      <c r="A257" s="20" t="inlineStr">
        <is>
          <t>共同基金</t>
        </is>
      </c>
      <c r="B257" s="20" t="inlineStr">
        <is>
          <t>03</t>
        </is>
      </c>
      <c r="C257" s="21" t="inlineStr">
        <is>
          <t>國泰中小成長基金(新台幣)-A</t>
        </is>
      </c>
      <c r="D257" s="20" t="n">
        <v>5</v>
      </c>
      <c r="E257" s="20" t="inlineStr"/>
      <c r="F257" s="21" t="inlineStr">
        <is>
          <t>旺  矽</t>
        </is>
      </c>
      <c r="G257" s="21" t="inlineStr">
        <is>
          <t>科技電子</t>
        </is>
      </c>
      <c r="H257" s="23" t="n">
        <v>0.05309999999999999</v>
      </c>
      <c r="I257" s="21" t="inlineStr">
        <is>
          <t>-</t>
        </is>
      </c>
    </row>
    <row r="258" ht="19" customHeight="1">
      <c r="A258" s="26" t="inlineStr">
        <is>
          <t>共同基金</t>
        </is>
      </c>
      <c r="B258" s="26" t="inlineStr">
        <is>
          <t>03</t>
        </is>
      </c>
      <c r="C258" s="27" t="inlineStr">
        <is>
          <t>國泰中小成長基金(新台幣)-A</t>
        </is>
      </c>
      <c r="D258" s="26" t="n">
        <v>6</v>
      </c>
      <c r="E258" s="26" t="inlineStr"/>
      <c r="F258" s="27" t="inlineStr">
        <is>
          <t>金像電</t>
        </is>
      </c>
      <c r="G258" s="27" t="inlineStr">
        <is>
          <t>科技電子</t>
        </is>
      </c>
      <c r="H258" s="29" t="n">
        <v>0.0506</v>
      </c>
      <c r="I258" s="27" t="inlineStr">
        <is>
          <t>-</t>
        </is>
      </c>
    </row>
    <row r="259" ht="19" customHeight="1">
      <c r="A259" s="20" t="inlineStr">
        <is>
          <t>共同基金</t>
        </is>
      </c>
      <c r="B259" s="20" t="inlineStr">
        <is>
          <t>03</t>
        </is>
      </c>
      <c r="C259" s="21" t="inlineStr">
        <is>
          <t>國泰中小成長基金(新台幣)-A</t>
        </is>
      </c>
      <c r="D259" s="20" t="n">
        <v>7</v>
      </c>
      <c r="E259" s="20" t="inlineStr"/>
      <c r="F259" s="21" t="inlineStr">
        <is>
          <t>萬  潤</t>
        </is>
      </c>
      <c r="G259" s="21" t="inlineStr">
        <is>
          <t>科技電子</t>
        </is>
      </c>
      <c r="H259" s="25" t="n">
        <v>0.0437</v>
      </c>
      <c r="I259" s="21" t="inlineStr">
        <is>
          <t>-</t>
        </is>
      </c>
    </row>
    <row r="260" ht="19" customHeight="1">
      <c r="A260" s="26" t="inlineStr">
        <is>
          <t>共同基金</t>
        </is>
      </c>
      <c r="B260" s="26" t="inlineStr">
        <is>
          <t>03</t>
        </is>
      </c>
      <c r="C260" s="27" t="inlineStr">
        <is>
          <t>國泰中小成長基金(新台幣)-A</t>
        </is>
      </c>
      <c r="D260" s="26" t="n">
        <v>8</v>
      </c>
      <c r="E260" s="26" t="inlineStr"/>
      <c r="F260" s="27" t="inlineStr">
        <is>
          <t>台表科</t>
        </is>
      </c>
      <c r="G260" s="27" t="inlineStr">
        <is>
          <t>科技電子</t>
        </is>
      </c>
      <c r="H260" s="31" t="n">
        <v>0.0406</v>
      </c>
      <c r="I260" s="27" t="inlineStr">
        <is>
          <t>-</t>
        </is>
      </c>
    </row>
    <row r="261" ht="19" customHeight="1">
      <c r="A261" s="20" t="inlineStr">
        <is>
          <t>共同基金</t>
        </is>
      </c>
      <c r="B261" s="20" t="inlineStr">
        <is>
          <t>03</t>
        </is>
      </c>
      <c r="C261" s="21" t="inlineStr">
        <is>
          <t>國泰中小成長基金(新台幣)-A</t>
        </is>
      </c>
      <c r="D261" s="20" t="n">
        <v>9</v>
      </c>
      <c r="E261" s="20" t="inlineStr"/>
      <c r="F261" s="21" t="inlineStr">
        <is>
          <t>禾伸堂</t>
        </is>
      </c>
      <c r="G261" s="21" t="inlineStr">
        <is>
          <t>科技電子</t>
        </is>
      </c>
      <c r="H261" s="25" t="n">
        <v>0.0391</v>
      </c>
      <c r="I261" s="21" t="inlineStr">
        <is>
          <t>-</t>
        </is>
      </c>
    </row>
    <row r="262" ht="19" customHeight="1">
      <c r="A262" s="26" t="inlineStr">
        <is>
          <t>共同基金</t>
        </is>
      </c>
      <c r="B262" s="26" t="inlineStr">
        <is>
          <t>03</t>
        </is>
      </c>
      <c r="C262" s="27" t="inlineStr">
        <is>
          <t>國泰中小成長基金(新台幣)-A</t>
        </is>
      </c>
      <c r="D262" s="26" t="n">
        <v>10</v>
      </c>
      <c r="E262" s="26" t="inlineStr"/>
      <c r="F262" s="27" t="inlineStr">
        <is>
          <t>玉晶光</t>
        </is>
      </c>
      <c r="G262" s="27" t="inlineStr">
        <is>
          <t>科技電子</t>
        </is>
      </c>
      <c r="H262" s="31" t="n">
        <v>0.0378</v>
      </c>
      <c r="I262" s="27" t="inlineStr">
        <is>
          <t>-</t>
        </is>
      </c>
    </row>
  </sheetData>
  <mergeCells count="3">
    <mergeCell ref="A31:I31"/>
    <mergeCell ref="A1:L1"/>
    <mergeCell ref="A3:K3"/>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45" customWidth="1" min="5" max="5"/>
    <col width="15" customWidth="1" min="6" max="6"/>
    <col width="14" customWidth="1" min="7" max="7"/>
    <col width="14" customWidth="1" min="8" max="8"/>
    <col width="14" customWidth="1" min="9" max="9"/>
    <col width="14" customWidth="1" min="10" max="10"/>
    <col width="14" customWidth="1" min="11" max="11"/>
    <col width="14" customWidth="1" min="12" max="12"/>
    <col width="12" customWidth="1" min="13" max="13"/>
    <col width="12" customWidth="1" min="14" max="14"/>
  </cols>
  <sheetData>
    <row r="1" ht="28" customHeight="1">
      <c r="A1" s="40" t="inlineStr">
        <is>
          <t>投資大類</t>
        </is>
      </c>
      <c r="B1" s="40" t="inlineStr">
        <is>
          <t>推薦分類</t>
        </is>
      </c>
      <c r="C1" s="40" t="inlineStr">
        <is>
          <t>代碼</t>
        </is>
      </c>
      <c r="D1" s="40" t="inlineStr">
        <is>
          <t>簡稱</t>
        </is>
      </c>
      <c r="E1" s="40" t="inlineStr">
        <is>
          <t>基金名稱</t>
        </is>
      </c>
      <c r="F1" s="40" t="inlineStr">
        <is>
          <t>現價或淨值</t>
        </is>
      </c>
      <c r="G1" s="40" t="inlineStr">
        <is>
          <t>近3個月績效</t>
        </is>
      </c>
      <c r="H1" s="40" t="inlineStr">
        <is>
          <t>近6個月績效</t>
        </is>
      </c>
      <c r="I1" s="40" t="inlineStr">
        <is>
          <t>近1年績效</t>
        </is>
      </c>
      <c r="J1" s="40" t="inlineStr">
        <is>
          <t>近2年績效</t>
        </is>
      </c>
      <c r="K1" s="40" t="inlineStr">
        <is>
          <t>近3年績效</t>
        </is>
      </c>
      <c r="L1" s="40" t="inlineStr">
        <is>
          <t>成立以來績效</t>
        </is>
      </c>
      <c r="M1" s="40" t="inlineStr">
        <is>
          <t>風險等級</t>
        </is>
      </c>
      <c r="N1" s="40" t="inlineStr">
        <is>
          <t>配息頻率</t>
        </is>
      </c>
    </row>
    <row r="2" ht="20" customHeight="1">
      <c r="A2" s="41" t="inlineStr">
        <is>
          <t>ETF</t>
        </is>
      </c>
      <c r="B2" s="42" t="inlineStr">
        <is>
          <t>市值型</t>
        </is>
      </c>
      <c r="C2" s="41" t="inlineStr">
        <is>
          <t>00663L</t>
        </is>
      </c>
      <c r="D2" s="42" t="inlineStr">
        <is>
          <t>國泰臺灣加權正2</t>
        </is>
      </c>
      <c r="E2" s="42" t="inlineStr">
        <is>
          <t>國泰臺灣加權指數單日正向2倍基金</t>
        </is>
      </c>
      <c r="F2" s="43" t="n">
        <v>103.45</v>
      </c>
      <c r="G2" s="44" t="n">
        <v>0.00911528</v>
      </c>
      <c r="H2" s="44" t="n">
        <v>1.04195298</v>
      </c>
      <c r="I2" s="44" t="n">
        <v>1.92236025</v>
      </c>
      <c r="J2" s="44" t="n">
        <v>2.77803269</v>
      </c>
      <c r="K2" s="44" t="n">
        <v>5.66981689</v>
      </c>
      <c r="L2" s="44" t="n">
        <v>38.522</v>
      </c>
      <c r="M2" s="41" t="inlineStr">
        <is>
          <t>RR5</t>
        </is>
      </c>
      <c r="N2" s="41" t="inlineStr">
        <is>
          <t>累積型</t>
        </is>
      </c>
    </row>
    <row r="3" ht="20" customHeight="1">
      <c r="A3" s="45" t="inlineStr">
        <is>
          <t>ETF</t>
        </is>
      </c>
      <c r="B3" s="46" t="inlineStr">
        <is>
          <t>科技</t>
        </is>
      </c>
      <c r="C3" s="45" t="inlineStr">
        <is>
          <t>00735</t>
        </is>
      </c>
      <c r="D3" s="46" t="inlineStr">
        <is>
          <t>國泰臺韓科技</t>
        </is>
      </c>
      <c r="E3" s="46" t="inlineStr">
        <is>
          <t>國泰臺韓科技基金</t>
        </is>
      </c>
      <c r="F3" s="47" t="n">
        <v>96</v>
      </c>
      <c r="G3" s="48" t="n">
        <v>-0.04014465</v>
      </c>
      <c r="H3" s="49" t="n">
        <v>0.7983140400000001</v>
      </c>
      <c r="I3" s="49" t="n">
        <v>1.68222685</v>
      </c>
      <c r="J3" s="49" t="n">
        <v>2.53246229</v>
      </c>
      <c r="K3" s="49" t="n">
        <v>3.62638379</v>
      </c>
      <c r="L3" s="49" t="n">
        <v>6.70726278</v>
      </c>
      <c r="M3" s="45" t="inlineStr">
        <is>
          <t>RR4</t>
        </is>
      </c>
      <c r="N3" s="45" t="inlineStr">
        <is>
          <t>每年2次</t>
        </is>
      </c>
    </row>
    <row r="4" ht="20" customHeight="1">
      <c r="A4" s="41" t="inlineStr">
        <is>
          <t>共同基金</t>
        </is>
      </c>
      <c r="B4" s="42" t="inlineStr">
        <is>
          <t>台股</t>
        </is>
      </c>
      <c r="C4" s="41" t="inlineStr">
        <is>
          <t>14</t>
        </is>
      </c>
      <c r="D4" s="42" t="inlineStr">
        <is>
          <t>國泰小龍基金(新台幣)</t>
        </is>
      </c>
      <c r="E4" s="42" t="inlineStr">
        <is>
          <t>國泰小龍基金(新台幣)-不配息A</t>
        </is>
      </c>
      <c r="F4" s="43" t="n">
        <v>115.17</v>
      </c>
      <c r="G4" s="44" t="n">
        <v>0.00866128</v>
      </c>
      <c r="H4" s="44" t="n">
        <v>0.52047154</v>
      </c>
      <c r="I4" s="44" t="n">
        <v>1.3455221</v>
      </c>
      <c r="J4" s="44" t="n">
        <v>2.06620654</v>
      </c>
      <c r="K4" s="44" t="n">
        <v>3.0771584</v>
      </c>
      <c r="L4" s="44" t="n">
        <v>10.995</v>
      </c>
      <c r="M4" s="41" t="inlineStr">
        <is>
          <t>RR4</t>
        </is>
      </c>
      <c r="N4" s="41" t="inlineStr">
        <is>
          <t>不配息</t>
        </is>
      </c>
    </row>
    <row r="5" ht="20" customHeight="1">
      <c r="A5" s="45" t="inlineStr">
        <is>
          <t>共同基金</t>
        </is>
      </c>
      <c r="B5" s="46" t="inlineStr">
        <is>
          <t>台股</t>
        </is>
      </c>
      <c r="C5" s="45" t="inlineStr">
        <is>
          <t>CL</t>
        </is>
      </c>
      <c r="D5" s="46" t="inlineStr">
        <is>
          <t>國泰台灣高股息基金(新台幣)-A</t>
        </is>
      </c>
      <c r="E5" s="46" t="inlineStr">
        <is>
          <t>國泰台灣高股息基金(新台幣)-不配息A</t>
        </is>
      </c>
      <c r="F5" s="47" t="n">
        <v>84.95999999999999</v>
      </c>
      <c r="G5" s="49" t="n">
        <v>0.06664248</v>
      </c>
      <c r="H5" s="49" t="n">
        <v>0.66020331</v>
      </c>
      <c r="I5" s="49" t="n">
        <v>1.28294072</v>
      </c>
      <c r="J5" s="49" t="n">
        <v>1.98443316</v>
      </c>
      <c r="K5" s="49" t="n">
        <v>2.93705357</v>
      </c>
      <c r="L5" s="49" t="n">
        <v>7.819</v>
      </c>
      <c r="M5" s="45" t="inlineStr">
        <is>
          <t>RR4</t>
        </is>
      </c>
      <c r="N5" s="45" t="inlineStr">
        <is>
          <t>不配息</t>
        </is>
      </c>
    </row>
    <row r="6" ht="20" customHeight="1">
      <c r="A6" s="41" t="inlineStr">
        <is>
          <t>共同基金</t>
        </is>
      </c>
      <c r="B6" s="42" t="inlineStr">
        <is>
          <t>配息</t>
        </is>
      </c>
      <c r="C6" s="41" t="inlineStr">
        <is>
          <t>CM</t>
        </is>
      </c>
      <c r="D6" s="42" t="inlineStr">
        <is>
          <t>國泰台灣高股息基金(新台幣)-B</t>
        </is>
      </c>
      <c r="E6" s="42" t="inlineStr">
        <is>
          <t>國泰台灣高股息基金(新台幣)-配息B</t>
        </is>
      </c>
      <c r="F6" s="43" t="n">
        <v>56.22</v>
      </c>
      <c r="G6" s="44" t="n">
        <v>0.06641135000000001</v>
      </c>
      <c r="H6" s="44" t="n">
        <v>0.6600313</v>
      </c>
      <c r="I6" s="44" t="n">
        <v>1.28280289</v>
      </c>
      <c r="J6" s="44" t="n">
        <v>1.98440837</v>
      </c>
      <c r="K6" s="44" t="n">
        <v>2.9377786</v>
      </c>
      <c r="L6" s="44" t="n">
        <v>7.81796963</v>
      </c>
      <c r="M6" s="41" t="inlineStr">
        <is>
          <t>RR4</t>
        </is>
      </c>
      <c r="N6" s="41" t="inlineStr">
        <is>
          <t>月配</t>
        </is>
      </c>
    </row>
    <row r="7" ht="20" customHeight="1">
      <c r="A7" s="45" t="inlineStr">
        <is>
          <t>共同基金</t>
        </is>
      </c>
      <c r="B7" s="46" t="inlineStr">
        <is>
          <t>台股</t>
        </is>
      </c>
      <c r="C7" s="45" t="inlineStr">
        <is>
          <t>03</t>
        </is>
      </c>
      <c r="D7" s="46" t="inlineStr">
        <is>
          <t>國泰中小成長基金(新台幣)-A</t>
        </is>
      </c>
      <c r="E7" s="46" t="inlineStr">
        <is>
          <t>國泰中小成長基金(新台幣)-不配息A</t>
        </is>
      </c>
      <c r="F7" s="47" t="n">
        <v>350.57</v>
      </c>
      <c r="G7" s="49" t="n">
        <v>0.04333726</v>
      </c>
      <c r="H7" s="49" t="n">
        <v>0.49526787</v>
      </c>
      <c r="I7" s="49" t="n">
        <v>1.15634901</v>
      </c>
      <c r="J7" s="49" t="n">
        <v>1.78727258</v>
      </c>
      <c r="K7" s="49" t="n">
        <v>2.48773036</v>
      </c>
      <c r="L7" s="49" t="n">
        <v>34.39</v>
      </c>
      <c r="M7" s="45" t="inlineStr">
        <is>
          <t>RR5</t>
        </is>
      </c>
      <c r="N7" s="45" t="inlineStr">
        <is>
          <t>不配息</t>
        </is>
      </c>
    </row>
    <row r="8" ht="20" customHeight="1">
      <c r="A8" s="41" t="inlineStr">
        <is>
          <t>ETF</t>
        </is>
      </c>
      <c r="B8" s="42" t="inlineStr">
        <is>
          <t>市值型</t>
        </is>
      </c>
      <c r="C8" s="41" t="inlineStr">
        <is>
          <t>00881</t>
        </is>
      </c>
      <c r="D8" s="42" t="inlineStr">
        <is>
          <t>國泰台灣科技龍頭</t>
        </is>
      </c>
      <c r="E8" s="42" t="inlineStr">
        <is>
          <t>國泰台灣科技龍頭ETF基金</t>
        </is>
      </c>
      <c r="F8" s="43" t="n">
        <v>49.11</v>
      </c>
      <c r="G8" s="44" t="n">
        <v>0.04219119</v>
      </c>
      <c r="H8" s="44" t="n">
        <v>0.62581825</v>
      </c>
      <c r="I8" s="44" t="n">
        <v>1.12902972</v>
      </c>
      <c r="J8" s="44" t="n">
        <v>1.81583191</v>
      </c>
      <c r="K8" s="44" t="n">
        <v>3.20123681</v>
      </c>
      <c r="L8" s="44" t="n">
        <v>4.34650566</v>
      </c>
      <c r="M8" s="41" t="inlineStr">
        <is>
          <t>RR5</t>
        </is>
      </c>
      <c r="N8" s="41" t="inlineStr">
        <is>
          <t>每年2次</t>
        </is>
      </c>
    </row>
    <row r="9" ht="20" customHeight="1">
      <c r="A9" s="45" t="inlineStr">
        <is>
          <t>ETF</t>
        </is>
      </c>
      <c r="B9" s="46" t="inlineStr">
        <is>
          <t>科技</t>
        </is>
      </c>
      <c r="C9" s="45" t="inlineStr">
        <is>
          <t>00830</t>
        </is>
      </c>
      <c r="D9" s="46" t="inlineStr">
        <is>
          <t>國泰費城半導體</t>
        </is>
      </c>
      <c r="E9" s="46" t="inlineStr">
        <is>
          <t>國泰美國費城半導體基金</t>
        </is>
      </c>
      <c r="F9" s="47" t="n">
        <v>81</v>
      </c>
      <c r="G9" s="48" t="n">
        <v>-0.11655405</v>
      </c>
      <c r="H9" s="49" t="n">
        <v>0.6510677800000001</v>
      </c>
      <c r="I9" s="49" t="n">
        <v>1.06391727</v>
      </c>
      <c r="J9" s="49" t="n">
        <v>1.44609492</v>
      </c>
      <c r="K9" s="49" t="n">
        <v>2.63998178</v>
      </c>
      <c r="L9" s="49" t="n">
        <v>7.700014159999999</v>
      </c>
      <c r="M9" s="45" t="inlineStr">
        <is>
          <t>RR4</t>
        </is>
      </c>
      <c r="N9" s="45" t="inlineStr">
        <is>
          <t>年配</t>
        </is>
      </c>
    </row>
    <row r="10" ht="20" customHeight="1">
      <c r="A10" s="41" t="inlineStr">
        <is>
          <t>共同基金</t>
        </is>
      </c>
      <c r="B10" s="42" t="inlineStr">
        <is>
          <t>台股</t>
        </is>
      </c>
      <c r="C10" s="41" t="inlineStr">
        <is>
          <t>01</t>
        </is>
      </c>
      <c r="D10" s="42" t="inlineStr">
        <is>
          <t>國泰國泰基金(新台幣)-A</t>
        </is>
      </c>
      <c r="E10" s="42" t="inlineStr">
        <is>
          <t>國泰國泰基金(新台幣)-不配息A</t>
        </is>
      </c>
      <c r="F10" s="43" t="n">
        <v>174.47</v>
      </c>
      <c r="G10" s="50" t="n">
        <v>-0.04380673</v>
      </c>
      <c r="H10" s="44" t="n">
        <v>0.43398899</v>
      </c>
      <c r="I10" s="44" t="n">
        <v>1.0545598</v>
      </c>
      <c r="J10" s="44" t="n">
        <v>1.65568993</v>
      </c>
      <c r="K10" s="44" t="n">
        <v>2.54315708</v>
      </c>
      <c r="L10" s="44" t="n">
        <v>17.226</v>
      </c>
      <c r="M10" s="41" t="inlineStr">
        <is>
          <t>RR4</t>
        </is>
      </c>
      <c r="N10" s="41" t="inlineStr">
        <is>
          <t>不配息</t>
        </is>
      </c>
    </row>
    <row r="11" ht="20" customHeight="1">
      <c r="A11" s="45" t="inlineStr">
        <is>
          <t>ETF</t>
        </is>
      </c>
      <c r="B11" s="46" t="inlineStr">
        <is>
          <t>市值型</t>
        </is>
      </c>
      <c r="C11" s="45" t="inlineStr">
        <is>
          <t>00922</t>
        </is>
      </c>
      <c r="D11" s="46" t="inlineStr">
        <is>
          <t>國泰台灣領袖50</t>
        </is>
      </c>
      <c r="E11" s="46" t="inlineStr">
        <is>
          <t>國泰台灣領袖50 ETF基金</t>
        </is>
      </c>
      <c r="F11" s="47" t="n">
        <v>39.56</v>
      </c>
      <c r="G11" s="49" t="n">
        <v>0.05804878</v>
      </c>
      <c r="H11" s="49" t="n">
        <v>0.6277673500000001</v>
      </c>
      <c r="I11" s="49" t="n">
        <v>1.00214522</v>
      </c>
      <c r="J11" s="49" t="n">
        <v>1.45878112</v>
      </c>
      <c r="K11" s="49" t="n">
        <v>2.50539708</v>
      </c>
      <c r="L11" s="49" t="n">
        <v>2.71104704</v>
      </c>
      <c r="M11" s="45" t="inlineStr">
        <is>
          <t>RR4</t>
        </is>
      </c>
      <c r="N11" s="45" t="inlineStr">
        <is>
          <t>每年2次</t>
        </is>
      </c>
    </row>
    <row r="12" ht="20" customHeight="1">
      <c r="A12" s="41" t="inlineStr">
        <is>
          <t>ETF</t>
        </is>
      </c>
      <c r="B12" s="42" t="inlineStr">
        <is>
          <t>配息</t>
        </is>
      </c>
      <c r="C12" s="41" t="inlineStr">
        <is>
          <t>00878</t>
        </is>
      </c>
      <c r="D12" s="42" t="inlineStr">
        <is>
          <t>國泰永續高股息</t>
        </is>
      </c>
      <c r="E12" s="42" t="inlineStr">
        <is>
          <t>國泰台灣ESG永續高股息ETF基金</t>
        </is>
      </c>
      <c r="F12" s="43" t="n">
        <v>34.88</v>
      </c>
      <c r="G12" s="44" t="n">
        <v>0.07029505</v>
      </c>
      <c r="H12" s="44" t="n">
        <v>0.69512178</v>
      </c>
      <c r="I12" s="44" t="n">
        <v>0.7761711699999999</v>
      </c>
      <c r="J12" s="44" t="n">
        <v>0.8494523599999999</v>
      </c>
      <c r="K12" s="44" t="n">
        <v>1.22080468</v>
      </c>
      <c r="L12" s="44" t="n">
        <v>2.57369898</v>
      </c>
      <c r="M12" s="41" t="inlineStr">
        <is>
          <t>RR4</t>
        </is>
      </c>
      <c r="N12" s="41" t="inlineStr">
        <is>
          <t>季配</t>
        </is>
      </c>
    </row>
    <row r="13" ht="20" customHeight="1">
      <c r="A13" s="45" t="inlineStr">
        <is>
          <t>ETF</t>
        </is>
      </c>
      <c r="B13" s="46" t="inlineStr">
        <is>
          <t>科技</t>
        </is>
      </c>
      <c r="C13" s="45" t="inlineStr">
        <is>
          <t>00893</t>
        </is>
      </c>
      <c r="D13" s="46" t="inlineStr">
        <is>
          <t>國泰智能電動車</t>
        </is>
      </c>
      <c r="E13" s="46" t="inlineStr">
        <is>
          <t>國泰全球智能電動車 ETF 基金</t>
        </is>
      </c>
      <c r="F13" s="47" t="n">
        <v>43.4</v>
      </c>
      <c r="G13" s="48" t="n">
        <v>-0.04295893000000001</v>
      </c>
      <c r="H13" s="49" t="n">
        <v>0.39237805</v>
      </c>
      <c r="I13" s="49" t="n">
        <v>0.53926525</v>
      </c>
      <c r="J13" s="49" t="n">
        <v>0.9676863400000001</v>
      </c>
      <c r="K13" s="49" t="n">
        <v>1.6912198</v>
      </c>
      <c r="L13" s="49" t="n">
        <v>2.04466667</v>
      </c>
      <c r="M13" s="45" t="inlineStr">
        <is>
          <t>RR4</t>
        </is>
      </c>
      <c r="N13" s="45" t="inlineStr">
        <is>
          <t>累積型</t>
        </is>
      </c>
    </row>
    <row r="14" ht="20" customHeight="1">
      <c r="A14" s="41" t="inlineStr">
        <is>
          <t>ETF</t>
        </is>
      </c>
      <c r="B14" s="42" t="inlineStr">
        <is>
          <t>科技</t>
        </is>
      </c>
      <c r="C14" s="41" t="inlineStr">
        <is>
          <t>00770</t>
        </is>
      </c>
      <c r="D14" s="42" t="inlineStr">
        <is>
          <t>國泰北美科技</t>
        </is>
      </c>
      <c r="E14" s="42" t="inlineStr">
        <is>
          <t>國泰標普北美科技基金</t>
        </is>
      </c>
      <c r="F14" s="43" t="n">
        <v>63.7</v>
      </c>
      <c r="G14" s="44" t="n">
        <v>0.03063547</v>
      </c>
      <c r="H14" s="44" t="n">
        <v>0.44239157</v>
      </c>
      <c r="I14" s="44" t="n">
        <v>0.43172121</v>
      </c>
      <c r="J14" s="44" t="n">
        <v>0.78851379</v>
      </c>
      <c r="K14" s="44" t="n">
        <v>1.63947403</v>
      </c>
      <c r="L14" s="44" t="n">
        <v>4.64447827</v>
      </c>
      <c r="M14" s="41" t="inlineStr">
        <is>
          <t>RR4</t>
        </is>
      </c>
      <c r="N14" s="41" t="inlineStr">
        <is>
          <t>年配</t>
        </is>
      </c>
    </row>
    <row r="15" ht="20" customHeight="1">
      <c r="A15" s="45" t="inlineStr">
        <is>
          <t>ETF</t>
        </is>
      </c>
      <c r="B15" s="46" t="inlineStr">
        <is>
          <t>市值型</t>
        </is>
      </c>
      <c r="C15" s="45" t="inlineStr">
        <is>
          <t>00916</t>
        </is>
      </c>
      <c r="D15" s="46" t="inlineStr">
        <is>
          <t>國泰全球品牌50</t>
        </is>
      </c>
      <c r="E15" s="46" t="inlineStr">
        <is>
          <t>國泰全球品牌50 ETF基金</t>
        </is>
      </c>
      <c r="F15" s="47" t="n">
        <v>27.98</v>
      </c>
      <c r="G15" s="49" t="n">
        <v>0.05632139</v>
      </c>
      <c r="H15" s="49" t="n">
        <v>0.15891475</v>
      </c>
      <c r="I15" s="49" t="n">
        <v>0.1013014</v>
      </c>
      <c r="J15" s="49" t="n">
        <v>0.26110345</v>
      </c>
      <c r="K15" s="49" t="n">
        <v>0.6474467799999999</v>
      </c>
      <c r="L15" s="49" t="n">
        <v>0.9792167899999999</v>
      </c>
      <c r="M15" s="45" t="inlineStr">
        <is>
          <t>RR4</t>
        </is>
      </c>
      <c r="N15" s="45" t="inlineStr">
        <is>
          <t>年配</t>
        </is>
      </c>
    </row>
    <row r="16" ht="20" customHeight="1">
      <c r="A16" s="41" t="inlineStr">
        <is>
          <t>共同基金</t>
        </is>
      </c>
      <c r="B16" s="42" t="inlineStr">
        <is>
          <t>後收型</t>
        </is>
      </c>
      <c r="C16" s="41" t="inlineStr">
        <is>
          <t>C5</t>
        </is>
      </c>
      <c r="D16" s="42" t="inlineStr">
        <is>
          <t>國泰美國多重收益平衡基金(新台幣)-NB</t>
        </is>
      </c>
      <c r="E16" s="42" t="inlineStr">
        <is>
          <t>國泰美國多重收益平衡基金(新台幣)-配息NB</t>
        </is>
      </c>
      <c r="F16" s="43" t="n">
        <v>9.780799999999999</v>
      </c>
      <c r="G16" s="50" t="n">
        <v>-0.02358716</v>
      </c>
      <c r="H16" s="44" t="n">
        <v>0.05685667</v>
      </c>
      <c r="I16" s="44" t="n">
        <v>0.0619188</v>
      </c>
      <c r="J16" s="44" t="n">
        <v>0.10955311</v>
      </c>
      <c r="K16" s="44" t="n">
        <v>0.30987828</v>
      </c>
      <c r="L16" s="44" t="n">
        <v>0.37648534</v>
      </c>
      <c r="M16" s="41" t="inlineStr">
        <is>
          <t>RR3</t>
        </is>
      </c>
      <c r="N16" s="41" t="inlineStr">
        <is>
          <t>月配</t>
        </is>
      </c>
    </row>
    <row r="17" ht="20" customHeight="1">
      <c r="A17" s="45" t="inlineStr">
        <is>
          <t>共同基金</t>
        </is>
      </c>
      <c r="B17" s="46" t="inlineStr">
        <is>
          <t>配息</t>
        </is>
      </c>
      <c r="C17" s="45" t="inlineStr">
        <is>
          <t>C4</t>
        </is>
      </c>
      <c r="D17" s="46" t="inlineStr">
        <is>
          <t>國泰美國多重收益平衡基金(新台幣)-B</t>
        </is>
      </c>
      <c r="E17" s="46" t="inlineStr">
        <is>
          <t>國泰美國多重收益平衡基金(新台幣)-配息B</t>
        </is>
      </c>
      <c r="F17" s="47" t="n">
        <v>9.790900000000001</v>
      </c>
      <c r="G17" s="48" t="n">
        <v>-0.02359118</v>
      </c>
      <c r="H17" s="49" t="n">
        <v>0.05685065</v>
      </c>
      <c r="I17" s="49" t="n">
        <v>0.06190851</v>
      </c>
      <c r="J17" s="49" t="n">
        <v>0.10955218</v>
      </c>
      <c r="K17" s="49" t="n">
        <v>0.30991231</v>
      </c>
      <c r="L17" s="49" t="n">
        <v>0.37749956</v>
      </c>
      <c r="M17" s="45" t="inlineStr">
        <is>
          <t>RR3</t>
        </is>
      </c>
      <c r="N17" s="45" t="inlineStr">
        <is>
          <t>月配</t>
        </is>
      </c>
    </row>
    <row r="18" ht="20" customHeight="1">
      <c r="A18" s="41" t="inlineStr">
        <is>
          <t>ETF</t>
        </is>
      </c>
      <c r="B18" s="42" t="inlineStr">
        <is>
          <t>市值型</t>
        </is>
      </c>
      <c r="C18" s="41" t="inlineStr">
        <is>
          <t>00636</t>
        </is>
      </c>
      <c r="D18" s="42" t="inlineStr">
        <is>
          <t>國泰中國A50</t>
        </is>
      </c>
      <c r="E18" s="42" t="inlineStr">
        <is>
          <t>國泰富時中國A50基金</t>
        </is>
      </c>
      <c r="F18" s="43" t="n">
        <v>25.76</v>
      </c>
      <c r="G18" s="50" t="n">
        <v>-0.09624573</v>
      </c>
      <c r="H18" s="50" t="n">
        <v>-0.00675169</v>
      </c>
      <c r="I18" s="44" t="n">
        <v>0.03761755</v>
      </c>
      <c r="J18" s="44" t="n">
        <v>0.08792111999999999</v>
      </c>
      <c r="K18" s="44" t="n">
        <v>0.27922705</v>
      </c>
      <c r="L18" s="44" t="n">
        <v>0.324</v>
      </c>
      <c r="M18" s="41" t="inlineStr">
        <is>
          <t>RR5</t>
        </is>
      </c>
      <c r="N18" s="41" t="inlineStr">
        <is>
          <t>累積型</t>
        </is>
      </c>
    </row>
    <row r="19" ht="20" customHeight="1">
      <c r="A19" s="45" t="inlineStr">
        <is>
          <t>共同基金</t>
        </is>
      </c>
      <c r="B19" s="46" t="inlineStr">
        <is>
          <t>後收型</t>
        </is>
      </c>
      <c r="C19" s="45" t="inlineStr">
        <is>
          <t>AP</t>
        </is>
      </c>
      <c r="D19" s="46" t="inlineStr">
        <is>
          <t>國泰主順位資產抵押非投資等級債券基金(新台幣)-NB</t>
        </is>
      </c>
      <c r="E19" s="46" t="inlineStr">
        <is>
          <t>國泰主順位資產抵押非投資等級債券基金(新台幣)-配息NB</t>
        </is>
      </c>
      <c r="F19" s="47" t="n">
        <v>7.9194</v>
      </c>
      <c r="G19" s="48" t="n">
        <v>-0.01325601</v>
      </c>
      <c r="H19" s="49" t="n">
        <v>0.00355806</v>
      </c>
      <c r="I19" s="49" t="n">
        <v>0.0353845</v>
      </c>
      <c r="J19" s="49" t="n">
        <v>0.06852923999999999</v>
      </c>
      <c r="K19" s="49" t="n">
        <v>0.17132662</v>
      </c>
      <c r="L19" s="49" t="n">
        <v>0.25493413</v>
      </c>
      <c r="M19" s="45" t="inlineStr">
        <is>
          <t>RR3</t>
        </is>
      </c>
      <c r="N19" s="45" t="inlineStr">
        <is>
          <t>月配</t>
        </is>
      </c>
    </row>
    <row r="20" ht="20" customHeight="1">
      <c r="A20" s="41" t="inlineStr">
        <is>
          <t>共同基金</t>
        </is>
      </c>
      <c r="B20" s="42" t="inlineStr">
        <is>
          <t>配息</t>
        </is>
      </c>
      <c r="C20" s="41" t="inlineStr">
        <is>
          <t>AO</t>
        </is>
      </c>
      <c r="D20" s="42" t="inlineStr">
        <is>
          <t>國泰主順位資產抵押非投資等級債券基金(新台幣)-B</t>
        </is>
      </c>
      <c r="E20" s="42" t="inlineStr">
        <is>
          <t>國泰主順位資產抵押非投資等級債券基金(新台幣)-配息B</t>
        </is>
      </c>
      <c r="F20" s="43" t="n">
        <v>7.8925</v>
      </c>
      <c r="G20" s="50" t="n">
        <v>-0.01326918</v>
      </c>
      <c r="H20" s="44" t="n">
        <v>0.00355715</v>
      </c>
      <c r="I20" s="44" t="n">
        <v>0.03536515</v>
      </c>
      <c r="J20" s="44" t="n">
        <v>0.06850787999999999</v>
      </c>
      <c r="K20" s="44" t="n">
        <v>0.17131475</v>
      </c>
      <c r="L20" s="44" t="n">
        <v>0.25489495</v>
      </c>
      <c r="M20" s="41" t="inlineStr">
        <is>
          <t>RR3</t>
        </is>
      </c>
      <c r="N20" s="41" t="inlineStr">
        <is>
          <t>月配</t>
        </is>
      </c>
    </row>
    <row r="21" ht="20" customHeight="1">
      <c r="A21" s="45" t="inlineStr">
        <is>
          <t>共同基金</t>
        </is>
      </c>
      <c r="B21" s="46" t="inlineStr">
        <is>
          <t>配息</t>
        </is>
      </c>
      <c r="C21" s="45" t="inlineStr">
        <is>
          <t>DH</t>
        </is>
      </c>
      <c r="D21" s="46" t="inlineStr">
        <is>
          <t>國泰美國優質債券基金(新台幣)-B</t>
        </is>
      </c>
      <c r="E21" s="46" t="inlineStr">
        <is>
          <t>國泰美國優質債券基金(新台幣)-配息B</t>
        </is>
      </c>
      <c r="F21" s="47" t="n">
        <v>8.444000000000001</v>
      </c>
      <c r="G21" s="48" t="n">
        <v>-0.04286634</v>
      </c>
      <c r="H21" s="48" t="n">
        <v>-0.03320632</v>
      </c>
      <c r="I21" s="48" t="n">
        <v>-0.01041497</v>
      </c>
      <c r="J21" s="48" t="n">
        <v>-0.01810696</v>
      </c>
      <c r="K21" s="49" t="n">
        <v>0.06838079999999999</v>
      </c>
      <c r="L21" s="49" t="n">
        <v>0.07678797999999999</v>
      </c>
      <c r="M21" s="45" t="inlineStr">
        <is>
          <t>RR2</t>
        </is>
      </c>
      <c r="N21" s="45" t="inlineStr">
        <is>
          <t>月配</t>
        </is>
      </c>
    </row>
    <row r="22" ht="20" customHeight="1">
      <c r="A22" s="41" t="inlineStr">
        <is>
          <t>共同基金</t>
        </is>
      </c>
      <c r="B22" s="42" t="inlineStr">
        <is>
          <t>後收型</t>
        </is>
      </c>
      <c r="C22" s="41" t="inlineStr">
        <is>
          <t>DW</t>
        </is>
      </c>
      <c r="D22" s="42" t="inlineStr">
        <is>
          <t>國泰美國優質債券基金(新台幣)-NB</t>
        </is>
      </c>
      <c r="E22" s="42" t="inlineStr">
        <is>
          <t>國泰美國優質債券基金(新台幣)-配息NB</t>
        </is>
      </c>
      <c r="F22" s="43" t="n">
        <v>8.441599999999999</v>
      </c>
      <c r="G22" s="50" t="n">
        <v>-0.04286672</v>
      </c>
      <c r="H22" s="50" t="n">
        <v>-0.0332039</v>
      </c>
      <c r="I22" s="50" t="n">
        <v>-0.01041691</v>
      </c>
      <c r="J22" s="50" t="n">
        <v>-0.00197347</v>
      </c>
      <c r="K22" s="50" t="n">
        <v>-0.00197347</v>
      </c>
      <c r="L22" s="50" t="n">
        <v>-0.00197347</v>
      </c>
      <c r="M22" s="41" t="inlineStr">
        <is>
          <t>RR2</t>
        </is>
      </c>
      <c r="N22" s="41" t="inlineStr">
        <is>
          <t>月配</t>
        </is>
      </c>
    </row>
    <row r="23" ht="20" customHeight="1">
      <c r="A23" s="45" t="inlineStr">
        <is>
          <t>ETF</t>
        </is>
      </c>
      <c r="B23" s="46" t="inlineStr">
        <is>
          <t>配息</t>
        </is>
      </c>
      <c r="C23" s="45" t="inlineStr">
        <is>
          <t>00933B</t>
        </is>
      </c>
      <c r="D23" s="46" t="inlineStr">
        <is>
          <t>國泰10Y+金融債</t>
        </is>
      </c>
      <c r="E23" s="46" t="inlineStr">
        <is>
          <t>國泰10年以上投資級金融債券ETF基金</t>
        </is>
      </c>
      <c r="F23" s="47" t="n">
        <v>15.4</v>
      </c>
      <c r="G23" s="48" t="n">
        <v>-0.07210569999999999</v>
      </c>
      <c r="H23" s="48" t="n">
        <v>-0.05279829999999999</v>
      </c>
      <c r="I23" s="48" t="n">
        <v>-0.02241604</v>
      </c>
      <c r="J23" s="48" t="n">
        <v>-0.04362151</v>
      </c>
      <c r="K23" s="49" t="n">
        <v>0.1590824</v>
      </c>
      <c r="L23" s="49" t="n">
        <v>0.1590824</v>
      </c>
      <c r="M23" s="45" t="inlineStr">
        <is>
          <t>RR2</t>
        </is>
      </c>
      <c r="N23" s="45" t="inlineStr">
        <is>
          <t>月配</t>
        </is>
      </c>
    </row>
    <row r="24" ht="20" customHeight="1">
      <c r="A24" s="41" t="inlineStr">
        <is>
          <t>ETF</t>
        </is>
      </c>
      <c r="B24" s="42" t="inlineStr">
        <is>
          <t>配息</t>
        </is>
      </c>
      <c r="C24" s="41" t="inlineStr">
        <is>
          <t>00725B</t>
        </is>
      </c>
      <c r="D24" s="42" t="inlineStr">
        <is>
          <t>國泰投資級公司債</t>
        </is>
      </c>
      <c r="E24" s="42" t="inlineStr">
        <is>
          <t>國泰10年期(以上)BBB美元息收公司債券基金</t>
        </is>
      </c>
      <c r="F24" s="43" t="n">
        <v>33.42</v>
      </c>
      <c r="G24" s="50" t="n">
        <v>-0.07485287</v>
      </c>
      <c r="H24" s="50" t="n">
        <v>-0.05330815000000001</v>
      </c>
      <c r="I24" s="50" t="n">
        <v>-0.02753734</v>
      </c>
      <c r="J24" s="50" t="n">
        <v>-0.04232418</v>
      </c>
      <c r="K24" s="44" t="n">
        <v>0.11263086</v>
      </c>
      <c r="L24" s="44" t="n">
        <v>0.22062507</v>
      </c>
      <c r="M24" s="41" t="inlineStr">
        <is>
          <t>RR2</t>
        </is>
      </c>
      <c r="N24" s="41" t="inlineStr">
        <is>
          <t>季配</t>
        </is>
      </c>
    </row>
    <row r="25" ht="20" customHeight="1">
      <c r="A25" s="45" t="inlineStr">
        <is>
          <t>ETF</t>
        </is>
      </c>
      <c r="B25" s="46" t="inlineStr">
        <is>
          <t>配息</t>
        </is>
      </c>
      <c r="C25" s="45" t="inlineStr">
        <is>
          <t>00400A</t>
        </is>
      </c>
      <c r="D25" s="46" t="inlineStr">
        <is>
          <t>主動國泰動能高息</t>
        </is>
      </c>
      <c r="E25" s="46" t="inlineStr">
        <is>
          <t>國泰台股動能高息主動式ETF基金</t>
        </is>
      </c>
      <c r="F25" s="47" t="n">
        <v>14.61</v>
      </c>
      <c r="G25" s="51" t="inlineStr"/>
      <c r="H25" s="51" t="inlineStr"/>
      <c r="I25" s="51" t="inlineStr"/>
      <c r="J25" s="51" t="inlineStr"/>
      <c r="K25" s="51" t="inlineStr"/>
      <c r="L25" s="51" t="inlineStr"/>
      <c r="M25" s="45" t="inlineStr">
        <is>
          <t>RR4</t>
        </is>
      </c>
      <c r="N25" s="45" t="inlineStr">
        <is>
          <t>月配</t>
        </is>
      </c>
    </row>
  </sheetData>
  <autoFilter ref="A1:N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26" customWidth="1" min="5" max="5"/>
    <col width="15" customWidth="1" min="6" max="6"/>
    <col width="12" customWidth="1" min="7" max="7"/>
    <col width="12"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2" customWidth="1" min="16" max="16"/>
    <col width="12" customWidth="1" min="17" max="17"/>
    <col width="45" customWidth="1" min="18" max="18"/>
  </cols>
  <sheetData>
    <row r="1" ht="28" customHeight="1">
      <c r="A1" s="40" t="inlineStr">
        <is>
          <t>投資大類</t>
        </is>
      </c>
      <c r="B1" s="40" t="inlineStr">
        <is>
          <t>推薦分類</t>
        </is>
      </c>
      <c r="C1" s="40" t="inlineStr">
        <is>
          <t>股票代碼</t>
        </is>
      </c>
      <c r="D1" s="40" t="inlineStr">
        <is>
          <t>基金名稱</t>
        </is>
      </c>
      <c r="E1" s="40" t="inlineStr">
        <is>
          <t>簡稱</t>
        </is>
      </c>
      <c r="F1" s="40" t="inlineStr">
        <is>
          <t>最新市價</t>
        </is>
      </c>
      <c r="G1" s="40" t="inlineStr">
        <is>
          <t>價格日期</t>
        </is>
      </c>
      <c r="H1" s="40" t="inlineStr">
        <is>
          <t>單日漲跌</t>
        </is>
      </c>
      <c r="I1" s="40" t="inlineStr">
        <is>
          <t>單日漲跌幅</t>
        </is>
      </c>
      <c r="J1" s="40" t="inlineStr">
        <is>
          <t>近3個月績效</t>
        </is>
      </c>
      <c r="K1" s="40" t="inlineStr">
        <is>
          <t>近6個月績效</t>
        </is>
      </c>
      <c r="L1" s="40" t="inlineStr">
        <is>
          <t>近1年績效</t>
        </is>
      </c>
      <c r="M1" s="40" t="inlineStr">
        <is>
          <t>近2年績效</t>
        </is>
      </c>
      <c r="N1" s="40" t="inlineStr">
        <is>
          <t>近3年績效</t>
        </is>
      </c>
      <c r="O1" s="40" t="inlineStr">
        <is>
          <t>成立以來績效</t>
        </is>
      </c>
      <c r="P1" s="40" t="inlineStr">
        <is>
          <t>配息頻率</t>
        </is>
      </c>
      <c r="Q1" s="40" t="inlineStr">
        <is>
          <t>風險等級</t>
        </is>
      </c>
      <c r="R1" s="40" t="inlineStr">
        <is>
          <t>警語說明</t>
        </is>
      </c>
    </row>
    <row r="2" ht="20" customHeight="1">
      <c r="A2" s="41" t="inlineStr">
        <is>
          <t>ETF</t>
        </is>
      </c>
      <c r="B2" s="42" t="inlineStr">
        <is>
          <t>配息</t>
        </is>
      </c>
      <c r="C2" s="41" t="inlineStr">
        <is>
          <t>00400A</t>
        </is>
      </c>
      <c r="D2" s="42" t="inlineStr">
        <is>
          <t>國泰台股動能高息主動式ETF基金</t>
        </is>
      </c>
      <c r="E2" s="42" t="inlineStr">
        <is>
          <t>主動國泰動能高息</t>
        </is>
      </c>
      <c r="F2" s="43" t="n">
        <v>14.61</v>
      </c>
      <c r="G2" s="41" t="inlineStr">
        <is>
          <t>10/20</t>
        </is>
      </c>
      <c r="H2" s="52" t="n">
        <v>-0.24</v>
      </c>
      <c r="I2" s="50" t="n">
        <v>-0.0162</v>
      </c>
      <c r="J2" s="53" t="inlineStr"/>
      <c r="K2" s="53" t="inlineStr"/>
      <c r="L2" s="53" t="inlineStr"/>
      <c r="M2" s="53" t="inlineStr"/>
      <c r="N2" s="53" t="inlineStr"/>
      <c r="O2" s="53" t="inlineStr"/>
      <c r="P2" s="41" t="inlineStr">
        <is>
          <t>月配</t>
        </is>
      </c>
      <c r="Q2" s="41" t="inlineStr">
        <is>
          <t>RR4</t>
        </is>
      </c>
      <c r="R2" s="42" t="inlineStr">
        <is>
          <t>(基金之配息來源可能為收益平準金且並無保證收益及配息)</t>
        </is>
      </c>
    </row>
    <row r="3" ht="20" customHeight="1">
      <c r="A3" s="45" t="inlineStr">
        <is>
          <t>ETF</t>
        </is>
      </c>
      <c r="B3" s="46" t="inlineStr">
        <is>
          <t>配息</t>
        </is>
      </c>
      <c r="C3" s="45" t="inlineStr">
        <is>
          <t>00878</t>
        </is>
      </c>
      <c r="D3" s="46" t="inlineStr">
        <is>
          <t>國泰台灣ESG永續高股息ETF基金</t>
        </is>
      </c>
      <c r="E3" s="46" t="inlineStr">
        <is>
          <t>國泰永續高股息</t>
        </is>
      </c>
      <c r="F3" s="47" t="n">
        <v>34.88</v>
      </c>
      <c r="G3" s="45" t="inlineStr">
        <is>
          <t>10/20</t>
        </is>
      </c>
      <c r="H3" s="54" t="n">
        <v>4.88</v>
      </c>
      <c r="I3" s="49" t="n">
        <v>0.1627</v>
      </c>
      <c r="J3" s="49" t="n">
        <v>0.07029505</v>
      </c>
      <c r="K3" s="49" t="n">
        <v>0.69512178</v>
      </c>
      <c r="L3" s="49" t="n">
        <v>0.7761711699999999</v>
      </c>
      <c r="M3" s="49" t="n">
        <v>0.8494523599999999</v>
      </c>
      <c r="N3" s="49" t="n">
        <v>1.22080468</v>
      </c>
      <c r="O3" s="49" t="n">
        <v>2.57369898</v>
      </c>
      <c r="P3" s="45" t="inlineStr">
        <is>
          <t>季配</t>
        </is>
      </c>
      <c r="Q3" s="45" t="inlineStr">
        <is>
          <t>RR4</t>
        </is>
      </c>
      <c r="R3" s="46" t="inlineStr">
        <is>
          <t>(基金之配息來源可能為收益平準金且並無保證收益及配息)</t>
        </is>
      </c>
    </row>
    <row r="4" ht="20" customHeight="1">
      <c r="A4" s="41" t="inlineStr">
        <is>
          <t>ETF</t>
        </is>
      </c>
      <c r="B4" s="42" t="inlineStr">
        <is>
          <t>配息</t>
        </is>
      </c>
      <c r="C4" s="41" t="inlineStr">
        <is>
          <t>00933B</t>
        </is>
      </c>
      <c r="D4" s="42" t="inlineStr">
        <is>
          <t>國泰10年以上投資級金融債券ETF基金</t>
        </is>
      </c>
      <c r="E4" s="42" t="inlineStr">
        <is>
          <t>國泰10Y+金融債</t>
        </is>
      </c>
      <c r="F4" s="43" t="n">
        <v>15.4</v>
      </c>
      <c r="G4" s="41" t="inlineStr">
        <is>
          <t>10/20</t>
        </is>
      </c>
      <c r="H4" s="52" t="n">
        <v>-0.03</v>
      </c>
      <c r="I4" s="50" t="n">
        <v>-0.0019</v>
      </c>
      <c r="J4" s="50" t="n">
        <v>-0.07210569999999999</v>
      </c>
      <c r="K4" s="50" t="n">
        <v>-0.05279829999999999</v>
      </c>
      <c r="L4" s="50" t="n">
        <v>-0.02241604</v>
      </c>
      <c r="M4" s="50" t="n">
        <v>-0.04362151</v>
      </c>
      <c r="N4" s="44" t="n">
        <v>0.1590824</v>
      </c>
      <c r="O4" s="44" t="n">
        <v>0.1590824</v>
      </c>
      <c r="P4" s="41" t="inlineStr">
        <is>
          <t>月配</t>
        </is>
      </c>
      <c r="Q4" s="41" t="inlineStr">
        <is>
          <t>RR2</t>
        </is>
      </c>
      <c r="R4" s="42" t="inlineStr">
        <is>
          <t>(基金之配息來源可能為收益平準金)</t>
        </is>
      </c>
    </row>
    <row r="5" ht="20" customHeight="1">
      <c r="A5" s="45" t="inlineStr">
        <is>
          <t>ETF</t>
        </is>
      </c>
      <c r="B5" s="46" t="inlineStr">
        <is>
          <t>配息</t>
        </is>
      </c>
      <c r="C5" s="45" t="inlineStr">
        <is>
          <t>00725B</t>
        </is>
      </c>
      <c r="D5" s="46" t="inlineStr">
        <is>
          <t>國泰10年期(以上)BBB美元息收公司債券基金</t>
        </is>
      </c>
      <c r="E5" s="46" t="inlineStr">
        <is>
          <t>國泰投資級公司債</t>
        </is>
      </c>
      <c r="F5" s="47" t="n">
        <v>33.42</v>
      </c>
      <c r="G5" s="45" t="inlineStr">
        <is>
          <t>10/20</t>
        </is>
      </c>
      <c r="H5" s="55" t="n">
        <v>-0.19</v>
      </c>
      <c r="I5" s="48" t="n">
        <v>-0.005699999999999999</v>
      </c>
      <c r="J5" s="48" t="n">
        <v>-0.07485287</v>
      </c>
      <c r="K5" s="48" t="n">
        <v>-0.05330815000000001</v>
      </c>
      <c r="L5" s="48" t="n">
        <v>-0.02753734</v>
      </c>
      <c r="M5" s="48" t="n">
        <v>-0.04232418</v>
      </c>
      <c r="N5" s="49" t="n">
        <v>0.11263086</v>
      </c>
      <c r="O5" s="49" t="n">
        <v>0.22062507</v>
      </c>
      <c r="P5" s="45" t="inlineStr">
        <is>
          <t>季配</t>
        </is>
      </c>
      <c r="Q5" s="45" t="inlineStr">
        <is>
          <t>RR2</t>
        </is>
      </c>
      <c r="R5" s="46" t="inlineStr">
        <is>
          <t>(基金之配息來源可能為收益平準金且並無保證收益及配息)</t>
        </is>
      </c>
    </row>
    <row r="6" ht="20" customHeight="1">
      <c r="A6" s="41" t="inlineStr">
        <is>
          <t>ETF</t>
        </is>
      </c>
      <c r="B6" s="42" t="inlineStr">
        <is>
          <t>市值型</t>
        </is>
      </c>
      <c r="C6" s="41" t="inlineStr">
        <is>
          <t>00881</t>
        </is>
      </c>
      <c r="D6" s="42" t="inlineStr">
        <is>
          <t>國泰台灣科技龍頭ETF基金</t>
        </is>
      </c>
      <c r="E6" s="42" t="inlineStr">
        <is>
          <t>國泰台灣科技龍頭</t>
        </is>
      </c>
      <c r="F6" s="43" t="n">
        <v>49.11</v>
      </c>
      <c r="G6" s="41" t="inlineStr">
        <is>
          <t>10/20</t>
        </is>
      </c>
      <c r="H6" s="52" t="n">
        <v>-4.04</v>
      </c>
      <c r="I6" s="50" t="n">
        <v>-0.076</v>
      </c>
      <c r="J6" s="44" t="n">
        <v>0.04219119</v>
      </c>
      <c r="K6" s="44" t="n">
        <v>0.62581825</v>
      </c>
      <c r="L6" s="44" t="n">
        <v>1.12902972</v>
      </c>
      <c r="M6" s="44" t="n">
        <v>1.81583191</v>
      </c>
      <c r="N6" s="44" t="n">
        <v>3.20123681</v>
      </c>
      <c r="O6" s="44" t="n">
        <v>4.34650566</v>
      </c>
      <c r="P6" s="41" t="inlineStr">
        <is>
          <t>每年2次</t>
        </is>
      </c>
      <c r="Q6" s="41" t="inlineStr">
        <is>
          <t>RR5</t>
        </is>
      </c>
      <c r="R6" s="42" t="inlineStr"/>
    </row>
    <row r="7" ht="20" customHeight="1">
      <c r="A7" s="45" t="inlineStr">
        <is>
          <t>ETF</t>
        </is>
      </c>
      <c r="B7" s="46" t="inlineStr">
        <is>
          <t>市值型</t>
        </is>
      </c>
      <c r="C7" s="45" t="inlineStr">
        <is>
          <t>00922</t>
        </is>
      </c>
      <c r="D7" s="46" t="inlineStr">
        <is>
          <t>國泰台灣領袖50 ETF基金</t>
        </is>
      </c>
      <c r="E7" s="46" t="inlineStr">
        <is>
          <t>國泰台灣領袖50</t>
        </is>
      </c>
      <c r="F7" s="47" t="n">
        <v>39.56</v>
      </c>
      <c r="G7" s="45" t="inlineStr">
        <is>
          <t>10/20</t>
        </is>
      </c>
      <c r="H7" s="54" t="n">
        <v>1.23</v>
      </c>
      <c r="I7" s="49" t="n">
        <v>0.0321</v>
      </c>
      <c r="J7" s="49" t="n">
        <v>0.05804878</v>
      </c>
      <c r="K7" s="49" t="n">
        <v>0.6277673500000001</v>
      </c>
      <c r="L7" s="49" t="n">
        <v>1.00214522</v>
      </c>
      <c r="M7" s="49" t="n">
        <v>1.45878112</v>
      </c>
      <c r="N7" s="49" t="n">
        <v>2.50539708</v>
      </c>
      <c r="O7" s="49" t="n">
        <v>2.71104704</v>
      </c>
      <c r="P7" s="45" t="inlineStr">
        <is>
          <t>每年2次</t>
        </is>
      </c>
      <c r="Q7" s="45" t="inlineStr">
        <is>
          <t>RR4</t>
        </is>
      </c>
      <c r="R7" s="46" t="inlineStr">
        <is>
          <t>(基金之配息來源可能為收益平準金)</t>
        </is>
      </c>
    </row>
    <row r="8" ht="20" customHeight="1">
      <c r="A8" s="41" t="inlineStr">
        <is>
          <t>ETF</t>
        </is>
      </c>
      <c r="B8" s="42" t="inlineStr">
        <is>
          <t>市值型</t>
        </is>
      </c>
      <c r="C8" s="41" t="inlineStr">
        <is>
          <t>00663L</t>
        </is>
      </c>
      <c r="D8" s="42" t="inlineStr">
        <is>
          <t>國泰臺灣加權指數單日正向2倍基金</t>
        </is>
      </c>
      <c r="E8" s="42" t="inlineStr">
        <is>
          <t>國泰臺灣加權正2</t>
        </is>
      </c>
      <c r="F8" s="43" t="n">
        <v>103.45</v>
      </c>
      <c r="G8" s="41" t="inlineStr">
        <is>
          <t>10/20</t>
        </is>
      </c>
      <c r="H8" s="52" t="n">
        <v>-1.95</v>
      </c>
      <c r="I8" s="50" t="n">
        <v>-0.0185</v>
      </c>
      <c r="J8" s="44" t="n">
        <v>0.00911528</v>
      </c>
      <c r="K8" s="44" t="n">
        <v>1.04195298</v>
      </c>
      <c r="L8" s="44" t="n">
        <v>1.92236025</v>
      </c>
      <c r="M8" s="44" t="n">
        <v>2.77803269</v>
      </c>
      <c r="N8" s="44" t="n">
        <v>5.66981689</v>
      </c>
      <c r="O8" s="44" t="n">
        <v>38.522</v>
      </c>
      <c r="P8" s="41" t="inlineStr">
        <is>
          <t>累積型</t>
        </is>
      </c>
      <c r="Q8" s="41" t="inlineStr">
        <is>
          <t>RR5</t>
        </is>
      </c>
      <c r="R8" s="42" t="inlineStr"/>
    </row>
    <row r="9" ht="20" customHeight="1">
      <c r="A9" s="45" t="inlineStr">
        <is>
          <t>ETF</t>
        </is>
      </c>
      <c r="B9" s="46" t="inlineStr">
        <is>
          <t>市值型</t>
        </is>
      </c>
      <c r="C9" s="45" t="inlineStr">
        <is>
          <t>00916</t>
        </is>
      </c>
      <c r="D9" s="46" t="inlineStr">
        <is>
          <t>國泰全球品牌50 ETF基金</t>
        </is>
      </c>
      <c r="E9" s="46" t="inlineStr">
        <is>
          <t>國泰全球品牌50</t>
        </is>
      </c>
      <c r="F9" s="47" t="n">
        <v>27.98</v>
      </c>
      <c r="G9" s="45" t="inlineStr">
        <is>
          <t>10/20</t>
        </is>
      </c>
      <c r="H9" s="55" t="n">
        <v>-0.04</v>
      </c>
      <c r="I9" s="48" t="n">
        <v>-0.0014</v>
      </c>
      <c r="J9" s="49" t="n">
        <v>0.05632139</v>
      </c>
      <c r="K9" s="49" t="n">
        <v>0.15891475</v>
      </c>
      <c r="L9" s="49" t="n">
        <v>0.1013014</v>
      </c>
      <c r="M9" s="49" t="n">
        <v>0.26110345</v>
      </c>
      <c r="N9" s="49" t="n">
        <v>0.6474467799999999</v>
      </c>
      <c r="O9" s="49" t="n">
        <v>0.9792167899999999</v>
      </c>
      <c r="P9" s="45" t="inlineStr">
        <is>
          <t>年配</t>
        </is>
      </c>
      <c r="Q9" s="45" t="inlineStr">
        <is>
          <t>RR4</t>
        </is>
      </c>
      <c r="R9" s="46" t="inlineStr">
        <is>
          <t>(基金之配息來源可能為收益平準金)</t>
        </is>
      </c>
    </row>
    <row r="10" ht="20" customHeight="1">
      <c r="A10" s="41" t="inlineStr">
        <is>
          <t>ETF</t>
        </is>
      </c>
      <c r="B10" s="42" t="inlineStr">
        <is>
          <t>市值型</t>
        </is>
      </c>
      <c r="C10" s="41" t="inlineStr">
        <is>
          <t>00636</t>
        </is>
      </c>
      <c r="D10" s="42" t="inlineStr">
        <is>
          <t>國泰富時中國A50基金</t>
        </is>
      </c>
      <c r="E10" s="42" t="inlineStr">
        <is>
          <t>國泰中國A50</t>
        </is>
      </c>
      <c r="F10" s="43" t="n">
        <v>25.76</v>
      </c>
      <c r="G10" s="41" t="inlineStr">
        <is>
          <t>10/20</t>
        </is>
      </c>
      <c r="H10" s="52" t="n">
        <v>-2.8</v>
      </c>
      <c r="I10" s="50" t="n">
        <v>-0.098</v>
      </c>
      <c r="J10" s="50" t="n">
        <v>-0.09624573</v>
      </c>
      <c r="K10" s="50" t="n">
        <v>-0.00675169</v>
      </c>
      <c r="L10" s="44" t="n">
        <v>0.03761755</v>
      </c>
      <c r="M10" s="44" t="n">
        <v>0.08792111999999999</v>
      </c>
      <c r="N10" s="44" t="n">
        <v>0.27922705</v>
      </c>
      <c r="O10" s="44" t="n">
        <v>0.324</v>
      </c>
      <c r="P10" s="41" t="inlineStr">
        <is>
          <t>累積型</t>
        </is>
      </c>
      <c r="Q10" s="41" t="inlineStr">
        <is>
          <t>RR5</t>
        </is>
      </c>
      <c r="R10" s="42" t="inlineStr"/>
    </row>
    <row r="11" ht="20" customHeight="1">
      <c r="A11" s="45" t="inlineStr">
        <is>
          <t>ETF</t>
        </is>
      </c>
      <c r="B11" s="46" t="inlineStr">
        <is>
          <t>科技</t>
        </is>
      </c>
      <c r="C11" s="45" t="inlineStr">
        <is>
          <t>00881</t>
        </is>
      </c>
      <c r="D11" s="46" t="inlineStr">
        <is>
          <t>國泰台灣科技龍頭ETF基金</t>
        </is>
      </c>
      <c r="E11" s="46" t="inlineStr">
        <is>
          <t>國泰台灣科技龍頭</t>
        </is>
      </c>
      <c r="F11" s="47" t="n">
        <v>49.11</v>
      </c>
      <c r="G11" s="45" t="inlineStr">
        <is>
          <t>10/20</t>
        </is>
      </c>
      <c r="H11" s="55" t="n">
        <v>-4.04</v>
      </c>
      <c r="I11" s="48" t="n">
        <v>-0.076</v>
      </c>
      <c r="J11" s="49" t="n">
        <v>0.04219119</v>
      </c>
      <c r="K11" s="49" t="n">
        <v>0.62581825</v>
      </c>
      <c r="L11" s="49" t="n">
        <v>1.12902972</v>
      </c>
      <c r="M11" s="49" t="n">
        <v>1.81583191</v>
      </c>
      <c r="N11" s="49" t="n">
        <v>3.20123681</v>
      </c>
      <c r="O11" s="49" t="n">
        <v>4.34650566</v>
      </c>
      <c r="P11" s="45" t="inlineStr">
        <is>
          <t>每年2次</t>
        </is>
      </c>
      <c r="Q11" s="45" t="inlineStr">
        <is>
          <t>RR5</t>
        </is>
      </c>
      <c r="R11" s="46" t="inlineStr"/>
    </row>
    <row r="12" ht="20" customHeight="1">
      <c r="A12" s="41" t="inlineStr">
        <is>
          <t>ETF</t>
        </is>
      </c>
      <c r="B12" s="42" t="inlineStr">
        <is>
          <t>科技</t>
        </is>
      </c>
      <c r="C12" s="41" t="inlineStr">
        <is>
          <t>00735</t>
        </is>
      </c>
      <c r="D12" s="42" t="inlineStr">
        <is>
          <t>國泰臺韓科技基金</t>
        </is>
      </c>
      <c r="E12" s="42" t="inlineStr">
        <is>
          <t>國泰臺韓科技</t>
        </is>
      </c>
      <c r="F12" s="43" t="n">
        <v>96</v>
      </c>
      <c r="G12" s="41" t="inlineStr">
        <is>
          <t>10/20</t>
        </is>
      </c>
      <c r="H12" s="52" t="n">
        <v>-12.3</v>
      </c>
      <c r="I12" s="50" t="n">
        <v>-0.1136</v>
      </c>
      <c r="J12" s="50" t="n">
        <v>-0.04014465</v>
      </c>
      <c r="K12" s="44" t="n">
        <v>0.7983140400000001</v>
      </c>
      <c r="L12" s="44" t="n">
        <v>1.68222685</v>
      </c>
      <c r="M12" s="44" t="n">
        <v>2.53246229</v>
      </c>
      <c r="N12" s="44" t="n">
        <v>3.62638379</v>
      </c>
      <c r="O12" s="44" t="n">
        <v>6.70726278</v>
      </c>
      <c r="P12" s="41" t="inlineStr">
        <is>
          <t>每年2次</t>
        </is>
      </c>
      <c r="Q12" s="41" t="inlineStr">
        <is>
          <t>RR4</t>
        </is>
      </c>
      <c r="R12" s="42" t="inlineStr"/>
    </row>
    <row r="13" ht="20" customHeight="1">
      <c r="A13" s="45" t="inlineStr">
        <is>
          <t>ETF</t>
        </is>
      </c>
      <c r="B13" s="46" t="inlineStr">
        <is>
          <t>科技</t>
        </is>
      </c>
      <c r="C13" s="45" t="inlineStr">
        <is>
          <t>00830</t>
        </is>
      </c>
      <c r="D13" s="46" t="inlineStr">
        <is>
          <t>國泰美國費城半導體基金</t>
        </is>
      </c>
      <c r="E13" s="46" t="inlineStr">
        <is>
          <t>國泰費城半導體</t>
        </is>
      </c>
      <c r="F13" s="47" t="n">
        <v>81</v>
      </c>
      <c r="G13" s="45" t="inlineStr">
        <is>
          <t>10/20</t>
        </is>
      </c>
      <c r="H13" s="55" t="n">
        <v>-6.5</v>
      </c>
      <c r="I13" s="48" t="n">
        <v>-0.07429999999999999</v>
      </c>
      <c r="J13" s="48" t="n">
        <v>-0.11655405</v>
      </c>
      <c r="K13" s="49" t="n">
        <v>0.6510677800000001</v>
      </c>
      <c r="L13" s="49" t="n">
        <v>1.06391727</v>
      </c>
      <c r="M13" s="49" t="n">
        <v>1.44609492</v>
      </c>
      <c r="N13" s="49" t="n">
        <v>2.63998178</v>
      </c>
      <c r="O13" s="49" t="n">
        <v>7.700014159999999</v>
      </c>
      <c r="P13" s="45" t="inlineStr">
        <is>
          <t>年配</t>
        </is>
      </c>
      <c r="Q13" s="45" t="inlineStr">
        <is>
          <t>RR4</t>
        </is>
      </c>
      <c r="R13" s="46" t="inlineStr"/>
    </row>
    <row r="14" ht="20" customHeight="1">
      <c r="A14" s="41" t="inlineStr">
        <is>
          <t>ETF</t>
        </is>
      </c>
      <c r="B14" s="42" t="inlineStr">
        <is>
          <t>科技</t>
        </is>
      </c>
      <c r="C14" s="41" t="inlineStr">
        <is>
          <t>00770</t>
        </is>
      </c>
      <c r="D14" s="42" t="inlineStr">
        <is>
          <t>國泰標普北美科技基金</t>
        </is>
      </c>
      <c r="E14" s="42" t="inlineStr">
        <is>
          <t>國泰北美科技</t>
        </is>
      </c>
      <c r="F14" s="43" t="n">
        <v>63.7</v>
      </c>
      <c r="G14" s="41" t="inlineStr">
        <is>
          <t>10/20</t>
        </is>
      </c>
      <c r="H14" s="52" t="n">
        <v>-2.5</v>
      </c>
      <c r="I14" s="50" t="n">
        <v>-0.0378</v>
      </c>
      <c r="J14" s="44" t="n">
        <v>0.03063547</v>
      </c>
      <c r="K14" s="44" t="n">
        <v>0.44239157</v>
      </c>
      <c r="L14" s="44" t="n">
        <v>0.43172121</v>
      </c>
      <c r="M14" s="44" t="n">
        <v>0.78851379</v>
      </c>
      <c r="N14" s="44" t="n">
        <v>1.63947403</v>
      </c>
      <c r="O14" s="44" t="n">
        <v>4.64447827</v>
      </c>
      <c r="P14" s="41" t="inlineStr">
        <is>
          <t>年配</t>
        </is>
      </c>
      <c r="Q14" s="41" t="inlineStr">
        <is>
          <t>RR4</t>
        </is>
      </c>
      <c r="R14" s="42" t="inlineStr"/>
    </row>
    <row r="15" ht="20" customHeight="1">
      <c r="A15" s="45" t="inlineStr">
        <is>
          <t>ETF</t>
        </is>
      </c>
      <c r="B15" s="46" t="inlineStr">
        <is>
          <t>科技</t>
        </is>
      </c>
      <c r="C15" s="45" t="inlineStr">
        <is>
          <t>00893</t>
        </is>
      </c>
      <c r="D15" s="46" t="inlineStr">
        <is>
          <t>國泰全球智能電動車 ETF 基金</t>
        </is>
      </c>
      <c r="E15" s="46" t="inlineStr">
        <is>
          <t>國泰智能電動車</t>
        </is>
      </c>
      <c r="F15" s="47" t="n">
        <v>43.4</v>
      </c>
      <c r="G15" s="45" t="inlineStr">
        <is>
          <t>10/20</t>
        </is>
      </c>
      <c r="H15" s="55" t="n">
        <v>-3.2</v>
      </c>
      <c r="I15" s="48" t="n">
        <v>-0.0687</v>
      </c>
      <c r="J15" s="48" t="n">
        <v>-0.04295893000000001</v>
      </c>
      <c r="K15" s="49" t="n">
        <v>0.39237805</v>
      </c>
      <c r="L15" s="49" t="n">
        <v>0.53926525</v>
      </c>
      <c r="M15" s="49" t="n">
        <v>0.9676863400000001</v>
      </c>
      <c r="N15" s="49" t="n">
        <v>1.6912198</v>
      </c>
      <c r="O15" s="49" t="n">
        <v>2.04466667</v>
      </c>
      <c r="P15" s="45" t="inlineStr">
        <is>
          <t>累積型</t>
        </is>
      </c>
      <c r="Q15" s="45" t="inlineStr">
        <is>
          <t>RR4</t>
        </is>
      </c>
      <c r="R15" s="46" t="inlineStr"/>
    </row>
    <row r="16" ht="20" customHeight="1">
      <c r="A16" s="41" t="inlineStr">
        <is>
          <t>ETF</t>
        </is>
      </c>
      <c r="B16" s="42" t="inlineStr">
        <is>
          <t>主動式</t>
        </is>
      </c>
      <c r="C16" s="41" t="inlineStr">
        <is>
          <t>00400A</t>
        </is>
      </c>
      <c r="D16" s="42" t="inlineStr">
        <is>
          <t>國泰台股動能高息主動式ETF基金</t>
        </is>
      </c>
      <c r="E16" s="42" t="inlineStr">
        <is>
          <t>主動國泰動能高息</t>
        </is>
      </c>
      <c r="F16" s="43" t="n">
        <v>14.61</v>
      </c>
      <c r="G16" s="41" t="inlineStr">
        <is>
          <t>10/20</t>
        </is>
      </c>
      <c r="H16" s="52" t="n">
        <v>-0.24</v>
      </c>
      <c r="I16" s="50" t="n">
        <v>-0.0162</v>
      </c>
      <c r="J16" s="53" t="inlineStr"/>
      <c r="K16" s="53" t="inlineStr"/>
      <c r="L16" s="53" t="inlineStr"/>
      <c r="M16" s="53" t="inlineStr"/>
      <c r="N16" s="53" t="inlineStr"/>
      <c r="O16" s="53" t="inlineStr"/>
      <c r="P16" s="41" t="inlineStr">
        <is>
          <t>月配</t>
        </is>
      </c>
      <c r="Q16" s="41" t="inlineStr">
        <is>
          <t>RR4</t>
        </is>
      </c>
      <c r="R16" s="42" t="inlineStr">
        <is>
          <t>(基金之配息來源可能為收益平準金且並無保證收益及配息)</t>
        </is>
      </c>
    </row>
  </sheetData>
  <autoFilter ref="A1:R16"/>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R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5" customWidth="1" min="4" max="4"/>
    <col width="50" customWidth="1" min="5" max="5"/>
    <col width="15" customWidth="1" min="6" max="6"/>
    <col width="15" customWidth="1" min="7" max="7"/>
    <col width="12"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2" customWidth="1" min="16" max="16"/>
    <col width="12" customWidth="1" min="17" max="17"/>
    <col width="45" customWidth="1" min="18" max="18"/>
  </cols>
  <sheetData>
    <row r="1" ht="28" customHeight="1">
      <c r="A1" s="40" t="inlineStr">
        <is>
          <t>投資大類</t>
        </is>
      </c>
      <c r="B1" s="40" t="inlineStr">
        <is>
          <t>推薦分類</t>
        </is>
      </c>
      <c r="C1" s="40" t="inlineStr">
        <is>
          <t>基金代碼</t>
        </is>
      </c>
      <c r="D1" s="40" t="inlineStr">
        <is>
          <t>基金名稱</t>
        </is>
      </c>
      <c r="E1" s="40" t="inlineStr">
        <is>
          <t>簡稱</t>
        </is>
      </c>
      <c r="F1" s="40" t="inlineStr">
        <is>
          <t>最新淨值</t>
        </is>
      </c>
      <c r="G1" s="40" t="inlineStr">
        <is>
          <t>淨值日期</t>
        </is>
      </c>
      <c r="H1" s="40" t="inlineStr">
        <is>
          <t>單日漲跌</t>
        </is>
      </c>
      <c r="I1" s="40" t="inlineStr">
        <is>
          <t>單日漲跌幅</t>
        </is>
      </c>
      <c r="J1" s="40" t="inlineStr">
        <is>
          <t>近3個月績效</t>
        </is>
      </c>
      <c r="K1" s="40" t="inlineStr">
        <is>
          <t>近6個月績效</t>
        </is>
      </c>
      <c r="L1" s="40" t="inlineStr">
        <is>
          <t>近1年績效</t>
        </is>
      </c>
      <c r="M1" s="40" t="inlineStr">
        <is>
          <t>近2年績效</t>
        </is>
      </c>
      <c r="N1" s="40" t="inlineStr">
        <is>
          <t>近3年績效</t>
        </is>
      </c>
      <c r="O1" s="40" t="inlineStr">
        <is>
          <t>成立以來績效</t>
        </is>
      </c>
      <c r="P1" s="40" t="inlineStr">
        <is>
          <t>配息頻率</t>
        </is>
      </c>
      <c r="Q1" s="40" t="inlineStr">
        <is>
          <t>風險等級</t>
        </is>
      </c>
      <c r="R1" s="40" t="inlineStr">
        <is>
          <t>警語說明</t>
        </is>
      </c>
    </row>
    <row r="2" ht="20" customHeight="1">
      <c r="A2" s="41" t="inlineStr">
        <is>
          <t>共同基金</t>
        </is>
      </c>
      <c r="B2" s="42" t="inlineStr">
        <is>
          <t>配息</t>
        </is>
      </c>
      <c r="C2" s="41" t="inlineStr">
        <is>
          <t>CM</t>
        </is>
      </c>
      <c r="D2" s="42" t="inlineStr">
        <is>
          <t>國泰台灣高股息基金(新台幣)-配息B</t>
        </is>
      </c>
      <c r="E2" s="42" t="inlineStr">
        <is>
          <t>國泰台灣高股息基金(新台幣)-B</t>
        </is>
      </c>
      <c r="F2" s="43" t="n">
        <v>56.22</v>
      </c>
      <c r="G2" s="43" t="inlineStr">
        <is>
          <t>10/19</t>
        </is>
      </c>
      <c r="H2" s="52" t="n">
        <v>-0.44</v>
      </c>
      <c r="I2" s="50" t="n">
        <v>-0.007800000000000001</v>
      </c>
      <c r="J2" s="44" t="n">
        <v>0.06641135000000001</v>
      </c>
      <c r="K2" s="44" t="n">
        <v>0.6600313</v>
      </c>
      <c r="L2" s="44" t="n">
        <v>1.28280289</v>
      </c>
      <c r="M2" s="44" t="n">
        <v>1.98440837</v>
      </c>
      <c r="N2" s="44" t="n">
        <v>2.9377786</v>
      </c>
      <c r="O2" s="44" t="n">
        <v>7.81796963</v>
      </c>
      <c r="P2" s="41" t="inlineStr">
        <is>
          <t>月配</t>
        </is>
      </c>
      <c r="Q2" s="41" t="inlineStr">
        <is>
          <t>RR4</t>
        </is>
      </c>
      <c r="R2" s="42" t="inlineStr">
        <is>
          <t>(本基金並無保證收益及配息)</t>
        </is>
      </c>
    </row>
    <row r="3" ht="20" customHeight="1">
      <c r="A3" s="45" t="inlineStr">
        <is>
          <t>共同基金</t>
        </is>
      </c>
      <c r="B3" s="46" t="inlineStr">
        <is>
          <t>配息</t>
        </is>
      </c>
      <c r="C3" s="45" t="inlineStr">
        <is>
          <t>C4</t>
        </is>
      </c>
      <c r="D3" s="46" t="inlineStr">
        <is>
          <t>國泰美國多重收益平衡基金(新台幣)-配息B</t>
        </is>
      </c>
      <c r="E3" s="46" t="inlineStr">
        <is>
          <t>國泰美國多重收益平衡基金(新台幣)-B</t>
        </is>
      </c>
      <c r="F3" s="47" t="n">
        <v>9.790900000000001</v>
      </c>
      <c r="G3" s="47" t="inlineStr">
        <is>
          <t>10/16</t>
        </is>
      </c>
      <c r="H3" s="55" t="n">
        <v>-0.0844</v>
      </c>
      <c r="I3" s="48" t="n">
        <v>-0.008500000000000001</v>
      </c>
      <c r="J3" s="48" t="n">
        <v>-0.02359118</v>
      </c>
      <c r="K3" s="49" t="n">
        <v>0.05685065</v>
      </c>
      <c r="L3" s="49" t="n">
        <v>0.06190851</v>
      </c>
      <c r="M3" s="49" t="n">
        <v>0.10955218</v>
      </c>
      <c r="N3" s="49" t="n">
        <v>0.30991231</v>
      </c>
      <c r="O3" s="49" t="n">
        <v>0.37749956</v>
      </c>
      <c r="P3" s="45" t="inlineStr">
        <is>
          <t>月配</t>
        </is>
      </c>
      <c r="Q3" s="45" t="inlineStr">
        <is>
          <t>RR3</t>
        </is>
      </c>
      <c r="R3" s="46" t="inlineStr">
        <is>
          <t>(本基金有相當比重投資於非投資等級之高風險債券且配息來源可能為本金)</t>
        </is>
      </c>
    </row>
    <row r="4" ht="20" customHeight="1">
      <c r="A4" s="41" t="inlineStr">
        <is>
          <t>共同基金</t>
        </is>
      </c>
      <c r="B4" s="42" t="inlineStr">
        <is>
          <t>配息</t>
        </is>
      </c>
      <c r="C4" s="41" t="inlineStr">
        <is>
          <t>AO</t>
        </is>
      </c>
      <c r="D4" s="42" t="inlineStr">
        <is>
          <t>國泰主順位資產抵押非投資等級債券基金(新台幣)-配息B</t>
        </is>
      </c>
      <c r="E4" s="42" t="inlineStr">
        <is>
          <t>國泰主順位資產抵押非投資等級債券基金(新台幣)-B</t>
        </is>
      </c>
      <c r="F4" s="43" t="n">
        <v>7.8925</v>
      </c>
      <c r="G4" s="43" t="inlineStr">
        <is>
          <t>10/16</t>
        </is>
      </c>
      <c r="H4" s="56" t="n">
        <v>0.0009</v>
      </c>
      <c r="I4" s="44" t="n">
        <v>0.0001</v>
      </c>
      <c r="J4" s="50" t="n">
        <v>-0.01326918</v>
      </c>
      <c r="K4" s="44" t="n">
        <v>0.00355715</v>
      </c>
      <c r="L4" s="44" t="n">
        <v>0.03536515</v>
      </c>
      <c r="M4" s="44" t="n">
        <v>0.06850787999999999</v>
      </c>
      <c r="N4" s="44" t="n">
        <v>0.17131475</v>
      </c>
      <c r="O4" s="44" t="n">
        <v>0.25489495</v>
      </c>
      <c r="P4" s="41" t="inlineStr">
        <is>
          <t>月配</t>
        </is>
      </c>
      <c r="Q4" s="41" t="inlineStr">
        <is>
          <t>RR3</t>
        </is>
      </c>
      <c r="R4" s="42" t="inlineStr">
        <is>
          <t>(基金之配息來源可能為本金)</t>
        </is>
      </c>
    </row>
    <row r="5" ht="20" customHeight="1">
      <c r="A5" s="45" t="inlineStr">
        <is>
          <t>共同基金</t>
        </is>
      </c>
      <c r="B5" s="46" t="inlineStr">
        <is>
          <t>配息</t>
        </is>
      </c>
      <c r="C5" s="45" t="inlineStr">
        <is>
          <t>DH</t>
        </is>
      </c>
      <c r="D5" s="46" t="inlineStr">
        <is>
          <t>國泰美國優質債券基金(新台幣)-配息B</t>
        </is>
      </c>
      <c r="E5" s="46" t="inlineStr">
        <is>
          <t>國泰美國優質債券基金(新台幣)-B</t>
        </is>
      </c>
      <c r="F5" s="47" t="n">
        <v>8.444000000000001</v>
      </c>
      <c r="G5" s="47" t="inlineStr">
        <is>
          <t>10/16</t>
        </is>
      </c>
      <c r="H5" s="55" t="n">
        <v>-0.0069</v>
      </c>
      <c r="I5" s="48" t="n">
        <v>-0.0008</v>
      </c>
      <c r="J5" s="48" t="n">
        <v>-0.04286634</v>
      </c>
      <c r="K5" s="48" t="n">
        <v>-0.03320632</v>
      </c>
      <c r="L5" s="48" t="n">
        <v>-0.01041497</v>
      </c>
      <c r="M5" s="48" t="n">
        <v>-0.01810696</v>
      </c>
      <c r="N5" s="49" t="n">
        <v>0.06838079999999999</v>
      </c>
      <c r="O5" s="49" t="n">
        <v>0.07678797999999999</v>
      </c>
      <c r="P5" s="45" t="inlineStr">
        <is>
          <t>月配</t>
        </is>
      </c>
      <c r="Q5" s="45" t="inlineStr">
        <is>
          <t>RR2</t>
        </is>
      </c>
      <c r="R5" s="46" t="inlineStr">
        <is>
          <t>(本基金有一定比重得投資於非投資等級之高風險債券且配息來源可能為本金)</t>
        </is>
      </c>
    </row>
    <row r="6" ht="20" customHeight="1">
      <c r="A6" s="41" t="inlineStr">
        <is>
          <t>共同基金</t>
        </is>
      </c>
      <c r="B6" s="42" t="inlineStr">
        <is>
          <t>後收型</t>
        </is>
      </c>
      <c r="C6" s="41" t="inlineStr">
        <is>
          <t>C5</t>
        </is>
      </c>
      <c r="D6" s="42" t="inlineStr">
        <is>
          <t>國泰美國多重收益平衡基金(新台幣)-配息NB</t>
        </is>
      </c>
      <c r="E6" s="42" t="inlineStr">
        <is>
          <t>國泰美國多重收益平衡基金(新台幣)-NB</t>
        </is>
      </c>
      <c r="F6" s="43" t="n">
        <v>9.780799999999999</v>
      </c>
      <c r="G6" s="43" t="inlineStr">
        <is>
          <t>10/16</t>
        </is>
      </c>
      <c r="H6" s="52" t="n">
        <v>-0.0843</v>
      </c>
      <c r="I6" s="50" t="n">
        <v>-0.008500000000000001</v>
      </c>
      <c r="J6" s="50" t="n">
        <v>-0.02358716</v>
      </c>
      <c r="K6" s="44" t="n">
        <v>0.05685667</v>
      </c>
      <c r="L6" s="44" t="n">
        <v>0.0619188</v>
      </c>
      <c r="M6" s="44" t="n">
        <v>0.10955311</v>
      </c>
      <c r="N6" s="44" t="n">
        <v>0.30987828</v>
      </c>
      <c r="O6" s="44" t="n">
        <v>0.37648534</v>
      </c>
      <c r="P6" s="41" t="inlineStr">
        <is>
          <t>月配</t>
        </is>
      </c>
      <c r="Q6" s="41" t="inlineStr">
        <is>
          <t>RR3</t>
        </is>
      </c>
      <c r="R6" s="42" t="inlineStr">
        <is>
          <t>(本基金有相當比重投資於非投資等級之高風險債券且配息來源可能為本金)</t>
        </is>
      </c>
    </row>
    <row r="7" ht="20" customHeight="1">
      <c r="A7" s="45" t="inlineStr">
        <is>
          <t>共同基金</t>
        </is>
      </c>
      <c r="B7" s="46" t="inlineStr">
        <is>
          <t>後收型</t>
        </is>
      </c>
      <c r="C7" s="45" t="inlineStr">
        <is>
          <t>DW</t>
        </is>
      </c>
      <c r="D7" s="46" t="inlineStr">
        <is>
          <t>國泰美國優質債券基金(新台幣)-配息NB</t>
        </is>
      </c>
      <c r="E7" s="46" t="inlineStr">
        <is>
          <t>國泰美國優質債券基金(新台幣)-NB</t>
        </is>
      </c>
      <c r="F7" s="47" t="n">
        <v>8.441599999999999</v>
      </c>
      <c r="G7" s="47" t="inlineStr">
        <is>
          <t>10/16</t>
        </is>
      </c>
      <c r="H7" s="55" t="n">
        <v>-0.007</v>
      </c>
      <c r="I7" s="48" t="n">
        <v>-0.0008</v>
      </c>
      <c r="J7" s="48" t="n">
        <v>-0.04286672</v>
      </c>
      <c r="K7" s="48" t="n">
        <v>-0.0332039</v>
      </c>
      <c r="L7" s="48" t="n">
        <v>-0.01041691</v>
      </c>
      <c r="M7" s="48" t="n">
        <v>-0.00197347</v>
      </c>
      <c r="N7" s="48" t="n">
        <v>-0.00197347</v>
      </c>
      <c r="O7" s="48" t="n">
        <v>-0.00197347</v>
      </c>
      <c r="P7" s="45" t="inlineStr">
        <is>
          <t>月配</t>
        </is>
      </c>
      <c r="Q7" s="45" t="inlineStr">
        <is>
          <t>RR2</t>
        </is>
      </c>
      <c r="R7" s="46" t="inlineStr">
        <is>
          <t>(本基金有一定比重得投資於非投資等級之高風險債券且配息來源可能為本金)</t>
        </is>
      </c>
    </row>
    <row r="8" ht="20" customHeight="1">
      <c r="A8" s="41" t="inlineStr">
        <is>
          <t>共同基金</t>
        </is>
      </c>
      <c r="B8" s="42" t="inlineStr">
        <is>
          <t>後收型</t>
        </is>
      </c>
      <c r="C8" s="41" t="inlineStr">
        <is>
          <t>AP</t>
        </is>
      </c>
      <c r="D8" s="42" t="inlineStr">
        <is>
          <t>國泰主順位資產抵押非投資等級債券基金(新台幣)-配息NB</t>
        </is>
      </c>
      <c r="E8" s="42" t="inlineStr">
        <is>
          <t>國泰主順位資產抵押非投資等級債券基金(新台幣)-NB</t>
        </is>
      </c>
      <c r="F8" s="43" t="n">
        <v>7.9194</v>
      </c>
      <c r="G8" s="43" t="inlineStr">
        <is>
          <t>10/16</t>
        </is>
      </c>
      <c r="H8" s="56" t="n">
        <v>0.0009</v>
      </c>
      <c r="I8" s="44" t="n">
        <v>0.0001</v>
      </c>
      <c r="J8" s="50" t="n">
        <v>-0.01325601</v>
      </c>
      <c r="K8" s="44" t="n">
        <v>0.00355806</v>
      </c>
      <c r="L8" s="44" t="n">
        <v>0.0353845</v>
      </c>
      <c r="M8" s="44" t="n">
        <v>0.06852923999999999</v>
      </c>
      <c r="N8" s="44" t="n">
        <v>0.17132662</v>
      </c>
      <c r="O8" s="44" t="n">
        <v>0.25493413</v>
      </c>
      <c r="P8" s="41" t="inlineStr">
        <is>
          <t>月配</t>
        </is>
      </c>
      <c r="Q8" s="41" t="inlineStr">
        <is>
          <t>RR3</t>
        </is>
      </c>
      <c r="R8" s="42" t="inlineStr">
        <is>
          <t>(基金之配息來源可能為本金)</t>
        </is>
      </c>
    </row>
    <row r="9" ht="20" customHeight="1">
      <c r="A9" s="45" t="inlineStr">
        <is>
          <t>共同基金</t>
        </is>
      </c>
      <c r="B9" s="46" t="inlineStr">
        <is>
          <t>台股</t>
        </is>
      </c>
      <c r="C9" s="45" t="inlineStr">
        <is>
          <t>CL</t>
        </is>
      </c>
      <c r="D9" s="46" t="inlineStr">
        <is>
          <t>國泰台灣高股息基金(新台幣)-不配息A</t>
        </is>
      </c>
      <c r="E9" s="46" t="inlineStr">
        <is>
          <t>國泰台灣高股息基金(新台幣)-A</t>
        </is>
      </c>
      <c r="F9" s="47" t="n">
        <v>84.95999999999999</v>
      </c>
      <c r="G9" s="47" t="inlineStr">
        <is>
          <t>10/19</t>
        </is>
      </c>
      <c r="H9" s="55" t="n">
        <v>-0.66</v>
      </c>
      <c r="I9" s="48" t="n">
        <v>-0.0077</v>
      </c>
      <c r="J9" s="49" t="n">
        <v>0.06664248</v>
      </c>
      <c r="K9" s="49" t="n">
        <v>0.66020331</v>
      </c>
      <c r="L9" s="49" t="n">
        <v>1.28294072</v>
      </c>
      <c r="M9" s="49" t="n">
        <v>1.98443316</v>
      </c>
      <c r="N9" s="49" t="n">
        <v>2.93705357</v>
      </c>
      <c r="O9" s="49" t="n">
        <v>7.819</v>
      </c>
      <c r="P9" s="45" t="inlineStr">
        <is>
          <t>不配息</t>
        </is>
      </c>
      <c r="Q9" s="45" t="inlineStr">
        <is>
          <t>RR4</t>
        </is>
      </c>
      <c r="R9" s="46" t="inlineStr">
        <is>
          <t>(本基金並無保證收益及配息)</t>
        </is>
      </c>
    </row>
    <row r="10" ht="20" customHeight="1">
      <c r="A10" s="41" t="inlineStr">
        <is>
          <t>共同基金</t>
        </is>
      </c>
      <c r="B10" s="42" t="inlineStr">
        <is>
          <t>台股</t>
        </is>
      </c>
      <c r="C10" s="41" t="inlineStr">
        <is>
          <t>01</t>
        </is>
      </c>
      <c r="D10" s="42" t="inlineStr">
        <is>
          <t>國泰國泰基金(新台幣)-不配息A</t>
        </is>
      </c>
      <c r="E10" s="42" t="inlineStr">
        <is>
          <t>國泰國泰基金(新台幣)-A</t>
        </is>
      </c>
      <c r="F10" s="43" t="n">
        <v>174.47</v>
      </c>
      <c r="G10" s="43" t="inlineStr">
        <is>
          <t>10/19</t>
        </is>
      </c>
      <c r="H10" s="52" t="n">
        <v>-1.11</v>
      </c>
      <c r="I10" s="50" t="n">
        <v>-0.0063</v>
      </c>
      <c r="J10" s="50" t="n">
        <v>-0.04380673</v>
      </c>
      <c r="K10" s="44" t="n">
        <v>0.43398899</v>
      </c>
      <c r="L10" s="44" t="n">
        <v>1.0545598</v>
      </c>
      <c r="M10" s="44" t="n">
        <v>1.65568993</v>
      </c>
      <c r="N10" s="44" t="n">
        <v>2.54315708</v>
      </c>
      <c r="O10" s="44" t="n">
        <v>17.226</v>
      </c>
      <c r="P10" s="41" t="inlineStr">
        <is>
          <t>不配息</t>
        </is>
      </c>
      <c r="Q10" s="41" t="inlineStr">
        <is>
          <t>RR4</t>
        </is>
      </c>
      <c r="R10" s="42" t="inlineStr">
        <is>
          <t>(基金之配息來源可能為本金)</t>
        </is>
      </c>
    </row>
    <row r="11" ht="20" customHeight="1">
      <c r="A11" s="45" t="inlineStr">
        <is>
          <t>共同基金</t>
        </is>
      </c>
      <c r="B11" s="46" t="inlineStr">
        <is>
          <t>台股</t>
        </is>
      </c>
      <c r="C11" s="45" t="inlineStr">
        <is>
          <t>14</t>
        </is>
      </c>
      <c r="D11" s="46" t="inlineStr">
        <is>
          <t>國泰小龍基金(新台幣)-不配息A</t>
        </is>
      </c>
      <c r="E11" s="46" t="inlineStr">
        <is>
          <t>國泰小龍基金(新台幣)</t>
        </is>
      </c>
      <c r="F11" s="47" t="n">
        <v>115.17</v>
      </c>
      <c r="G11" s="47" t="inlineStr">
        <is>
          <t>10/19</t>
        </is>
      </c>
      <c r="H11" s="55" t="n">
        <v>-0.85</v>
      </c>
      <c r="I11" s="48" t="n">
        <v>-0.0073</v>
      </c>
      <c r="J11" s="49" t="n">
        <v>0.00866128</v>
      </c>
      <c r="K11" s="49" t="n">
        <v>0.52047154</v>
      </c>
      <c r="L11" s="49" t="n">
        <v>1.3455221</v>
      </c>
      <c r="M11" s="49" t="n">
        <v>2.06620654</v>
      </c>
      <c r="N11" s="49" t="n">
        <v>3.0771584</v>
      </c>
      <c r="O11" s="49" t="n">
        <v>10.995</v>
      </c>
      <c r="P11" s="45" t="inlineStr">
        <is>
          <t>不配息</t>
        </is>
      </c>
      <c r="Q11" s="45" t="inlineStr">
        <is>
          <t>RR4</t>
        </is>
      </c>
      <c r="R11" s="46" t="inlineStr"/>
    </row>
    <row r="12" ht="20" customHeight="1">
      <c r="A12" s="41" t="inlineStr">
        <is>
          <t>共同基金</t>
        </is>
      </c>
      <c r="B12" s="42" t="inlineStr">
        <is>
          <t>台股</t>
        </is>
      </c>
      <c r="C12" s="41" t="inlineStr">
        <is>
          <t>03</t>
        </is>
      </c>
      <c r="D12" s="42" t="inlineStr">
        <is>
          <t>國泰中小成長基金(新台幣)-不配息A</t>
        </is>
      </c>
      <c r="E12" s="42" t="inlineStr">
        <is>
          <t>國泰中小成長基金(新台幣)-A</t>
        </is>
      </c>
      <c r="F12" s="43" t="n">
        <v>350.57</v>
      </c>
      <c r="G12" s="43" t="inlineStr">
        <is>
          <t>10/19</t>
        </is>
      </c>
      <c r="H12" s="52" t="n">
        <v>-2.41</v>
      </c>
      <c r="I12" s="50" t="n">
        <v>-0.0068</v>
      </c>
      <c r="J12" s="44" t="n">
        <v>0.04333726</v>
      </c>
      <c r="K12" s="44" t="n">
        <v>0.49526787</v>
      </c>
      <c r="L12" s="44" t="n">
        <v>1.15634901</v>
      </c>
      <c r="M12" s="44" t="n">
        <v>1.78727258</v>
      </c>
      <c r="N12" s="44" t="n">
        <v>2.48773036</v>
      </c>
      <c r="O12" s="44" t="n">
        <v>34.39</v>
      </c>
      <c r="P12" s="41" t="inlineStr">
        <is>
          <t>不配息</t>
        </is>
      </c>
      <c r="Q12" s="41" t="inlineStr">
        <is>
          <t>RR5</t>
        </is>
      </c>
      <c r="R12" s="42" t="inlineStr">
        <is>
          <t>(基金之配息來源可能為本金)</t>
        </is>
      </c>
    </row>
  </sheetData>
  <autoFilter ref="A1:R12"/>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2026-10-20T07:44:20Z</dcterms:created>
  <dcterms:modified xsi:type="dcterms:W3CDTF">2026-10-20T07:44:23Z</dcterms:modified>
</cp:coreProperties>
</file>